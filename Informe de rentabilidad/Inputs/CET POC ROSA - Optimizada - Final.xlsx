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0" documentId="8_{113251D3-0981-4446-8925-B0EEC060FC6C}" xr6:coauthVersionLast="47" xr6:coauthVersionMax="47" xr10:uidLastSave="{00000000-0000-0000-0000-000000000000}"/>
  <bookViews>
    <workbookView xWindow="0" yWindow="0" windowWidth="0" windowHeight="0" firstSheet="5" activeTab="5" xr2:uid="{00000000-000D-0000-FFFF-FFFF00000000}"/>
  </bookViews>
  <sheets>
    <sheet name="Total" sheetId="18" r:id="rId1"/>
    <sheet name="Propuesta" sheetId="19" r:id="rId2"/>
    <sheet name="HL Plan" sheetId="3" r:id="rId3"/>
    <sheet name="HL Plan Semana" sheetId="20" r:id="rId4"/>
    <sheet name="Professional Services" sheetId="4" r:id="rId5"/>
    <sheet name="Cloud" sheetId="17" r:id="rId6"/>
    <sheet name="Other Vendors" sheetId="7" r:id="rId7"/>
    <sheet name="Houndoc SaaS" sheetId="6" r:id="rId8"/>
    <sheet name="MAP" sheetId="8" r:id="rId9"/>
    <sheet name="Notes" sheetId="9" r:id="rId10"/>
    <sheet name="Parameters" sheetId="10" r:id="rId11"/>
    <sheet name="Finance" sheetId="12" r:id="rId12"/>
    <sheet name="Finance (Objetivo)" sheetId="16" r:id="rId13"/>
  </sheets>
  <definedNames>
    <definedName name="trm" localSheetId="0">Parameters!$A$12</definedName>
    <definedName name="trm">Parameters!$A$12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4" l="1"/>
  <c r="F5" i="4"/>
  <c r="F8" i="4"/>
  <c r="E17" i="18"/>
  <c r="F7" i="4"/>
  <c r="F6" i="4"/>
  <c r="F4" i="4"/>
  <c r="F3" i="4"/>
  <c r="H15" i="4"/>
  <c r="G6" i="4"/>
  <c r="H6" i="4" s="1"/>
  <c r="G7" i="4"/>
  <c r="H7" i="4" s="1"/>
  <c r="G8" i="4"/>
  <c r="H8" i="4" s="1"/>
  <c r="B6" i="10"/>
  <c r="B7" i="10"/>
  <c r="B8" i="10"/>
  <c r="B9" i="10"/>
  <c r="C7" i="10"/>
  <c r="C8" i="10"/>
  <c r="C9" i="10"/>
  <c r="C6" i="10"/>
  <c r="D7" i="10"/>
  <c r="D8" i="10"/>
  <c r="D9" i="10"/>
  <c r="D6" i="10"/>
  <c r="D3" i="17"/>
  <c r="H12" i="4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J44" i="10"/>
  <c r="AK44" i="10"/>
  <c r="AL44" i="10"/>
  <c r="AM44" i="10"/>
  <c r="AN44" i="10"/>
  <c r="AO44" i="10"/>
  <c r="AP44" i="10"/>
  <c r="AQ44" i="10"/>
  <c r="AR44" i="10"/>
  <c r="AS44" i="10"/>
  <c r="AT44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J45" i="10"/>
  <c r="AK45" i="10"/>
  <c r="AL45" i="10"/>
  <c r="AM45" i="10"/>
  <c r="AN45" i="10"/>
  <c r="AO45" i="10"/>
  <c r="AP45" i="10"/>
  <c r="AQ45" i="10"/>
  <c r="AR45" i="10"/>
  <c r="AS45" i="10"/>
  <c r="AT45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J46" i="10"/>
  <c r="AK46" i="10"/>
  <c r="AL46" i="10"/>
  <c r="AM46" i="10"/>
  <c r="AN46" i="10"/>
  <c r="AO46" i="10"/>
  <c r="AP46" i="10"/>
  <c r="AQ46" i="10"/>
  <c r="AR46" i="10"/>
  <c r="AS46" i="10"/>
  <c r="AT46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J47" i="10"/>
  <c r="AK47" i="10"/>
  <c r="AL47" i="10"/>
  <c r="AM47" i="10"/>
  <c r="AN47" i="10"/>
  <c r="AO47" i="10"/>
  <c r="AP47" i="10"/>
  <c r="AQ47" i="10"/>
  <c r="AR47" i="10"/>
  <c r="AS47" i="10"/>
  <c r="AT47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J48" i="10"/>
  <c r="AK48" i="10"/>
  <c r="AL48" i="10"/>
  <c r="AM48" i="10"/>
  <c r="AN48" i="10"/>
  <c r="AO48" i="10"/>
  <c r="AP48" i="10"/>
  <c r="AQ48" i="10"/>
  <c r="AR48" i="10"/>
  <c r="AS48" i="10"/>
  <c r="AT48" i="10"/>
  <c r="F11" i="16"/>
  <c r="E11" i="16"/>
  <c r="B11" i="16"/>
  <c r="B9" i="16"/>
  <c r="B8" i="16"/>
  <c r="B7" i="16"/>
  <c r="B6" i="16"/>
  <c r="B10" i="16"/>
  <c r="D10" i="16"/>
  <c r="G24" i="12"/>
  <c r="H24" i="12"/>
  <c r="I24" i="12"/>
  <c r="J24" i="12"/>
  <c r="K24" i="12"/>
  <c r="L24" i="12"/>
  <c r="M24" i="12"/>
  <c r="N24" i="12"/>
  <c r="O24" i="12"/>
  <c r="P24" i="12"/>
  <c r="Q24" i="12"/>
  <c r="R24" i="12"/>
  <c r="S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AJ24" i="12"/>
  <c r="AK24" i="12"/>
  <c r="AL24" i="12"/>
  <c r="AM24" i="12"/>
  <c r="AN24" i="12"/>
  <c r="AO24" i="12"/>
  <c r="AP24" i="12"/>
  <c r="AQ24" i="12"/>
  <c r="AR24" i="12"/>
  <c r="AS24" i="12"/>
  <c r="AT24" i="12"/>
  <c r="AU24" i="12"/>
  <c r="AV24" i="12"/>
  <c r="AW24" i="12"/>
  <c r="AX24" i="12"/>
  <c r="AY24" i="12"/>
  <c r="AZ24" i="12"/>
  <c r="BA24" i="12"/>
  <c r="BB24" i="12"/>
  <c r="BC24" i="12"/>
  <c r="BD24" i="12"/>
  <c r="BE24" i="12"/>
  <c r="BF24" i="12"/>
  <c r="BG24" i="12"/>
  <c r="BH24" i="12"/>
  <c r="BI24" i="12"/>
  <c r="BJ24" i="12"/>
  <c r="BK24" i="12"/>
  <c r="BL24" i="12"/>
  <c r="BM24" i="12"/>
  <c r="BN24" i="12"/>
  <c r="BO24" i="12"/>
  <c r="BP24" i="12"/>
  <c r="BQ24" i="12"/>
  <c r="BR24" i="12"/>
  <c r="BS24" i="12"/>
  <c r="BT24" i="12"/>
  <c r="BU24" i="12"/>
  <c r="BV24" i="12"/>
  <c r="BW24" i="12"/>
  <c r="BX24" i="12"/>
  <c r="BY24" i="12"/>
  <c r="BZ24" i="12"/>
  <c r="CA24" i="12"/>
  <c r="CB24" i="12"/>
  <c r="CC24" i="12"/>
  <c r="CD24" i="12"/>
  <c r="CE24" i="12"/>
  <c r="CF24" i="12"/>
  <c r="CG24" i="12"/>
  <c r="CH24" i="12"/>
  <c r="CI24" i="12"/>
  <c r="CJ24" i="12"/>
  <c r="CK24" i="12"/>
  <c r="CL24" i="12"/>
  <c r="CM24" i="12"/>
  <c r="CN24" i="12"/>
  <c r="CO24" i="12"/>
  <c r="CP24" i="12"/>
  <c r="CQ24" i="12"/>
  <c r="CR24" i="12"/>
  <c r="CS24" i="12"/>
  <c r="CT24" i="12"/>
  <c r="CU24" i="12"/>
  <c r="CV24" i="12"/>
  <c r="CW24" i="12"/>
  <c r="CX24" i="12"/>
  <c r="CY24" i="12"/>
  <c r="CZ24" i="12"/>
  <c r="DA24" i="12"/>
  <c r="DB24" i="12"/>
  <c r="DC24" i="12"/>
  <c r="DD24" i="12"/>
  <c r="DE24" i="12"/>
  <c r="DF24" i="12"/>
  <c r="DG24" i="12"/>
  <c r="DH24" i="12"/>
  <c r="DI24" i="12"/>
  <c r="DJ24" i="12"/>
  <c r="DK24" i="12"/>
  <c r="DL24" i="12"/>
  <c r="DM24" i="12"/>
  <c r="DN24" i="12"/>
  <c r="DO24" i="12"/>
  <c r="DP24" i="12"/>
  <c r="DQ24" i="12"/>
  <c r="DR24" i="12"/>
  <c r="DS24" i="12"/>
  <c r="DT24" i="12"/>
  <c r="DU24" i="12"/>
  <c r="DV24" i="12"/>
  <c r="DW24" i="12"/>
  <c r="DX24" i="12"/>
  <c r="DY24" i="12"/>
  <c r="DZ24" i="12"/>
  <c r="EA24" i="12"/>
  <c r="EB24" i="12"/>
  <c r="EC24" i="12"/>
  <c r="ED24" i="12"/>
  <c r="EE24" i="12"/>
  <c r="EF24" i="12"/>
  <c r="EG24" i="12"/>
  <c r="EH24" i="12"/>
  <c r="EI24" i="12"/>
  <c r="EJ24" i="12"/>
  <c r="EK24" i="12"/>
  <c r="EL24" i="12"/>
  <c r="EM24" i="12"/>
  <c r="EN24" i="12"/>
  <c r="EO24" i="12"/>
  <c r="EP24" i="12"/>
  <c r="EQ24" i="12"/>
  <c r="ER24" i="12"/>
  <c r="ES24" i="12"/>
  <c r="ET24" i="12"/>
  <c r="EU24" i="12"/>
  <c r="EV24" i="12"/>
  <c r="EW24" i="12"/>
  <c r="EX24" i="12"/>
  <c r="EY24" i="12"/>
  <c r="EZ24" i="12"/>
  <c r="FA24" i="12"/>
  <c r="FB24" i="12"/>
  <c r="FC24" i="12"/>
  <c r="FD24" i="12"/>
  <c r="FE24" i="12"/>
  <c r="FF24" i="12"/>
  <c r="FG24" i="12"/>
  <c r="FH24" i="12"/>
  <c r="FI24" i="12"/>
  <c r="FJ24" i="12"/>
  <c r="FK24" i="12"/>
  <c r="FL24" i="12"/>
  <c r="FM24" i="12"/>
  <c r="FN24" i="12"/>
  <c r="FO24" i="12"/>
  <c r="FP24" i="12"/>
  <c r="FQ24" i="12"/>
  <c r="FR24" i="12"/>
  <c r="FS24" i="12"/>
  <c r="FT24" i="12"/>
  <c r="FU24" i="12"/>
  <c r="FV24" i="12"/>
  <c r="FW24" i="12"/>
  <c r="FX24" i="12"/>
  <c r="FY24" i="12"/>
  <c r="FZ24" i="12"/>
  <c r="F24" i="12"/>
  <c r="E7" i="12"/>
  <c r="F39" i="12"/>
  <c r="GV39" i="12"/>
  <c r="GU39" i="12"/>
  <c r="GT39" i="12"/>
  <c r="GS39" i="12"/>
  <c r="GR39" i="12"/>
  <c r="GQ39" i="12"/>
  <c r="GP39" i="12"/>
  <c r="GO39" i="12"/>
  <c r="GN39" i="12"/>
  <c r="GM39" i="12"/>
  <c r="GL39" i="12"/>
  <c r="GK39" i="12"/>
  <c r="GJ39" i="12"/>
  <c r="GI39" i="12"/>
  <c r="GH39" i="12"/>
  <c r="GG39" i="12"/>
  <c r="GF39" i="12"/>
  <c r="GE39" i="12"/>
  <c r="GD39" i="12"/>
  <c r="GC39" i="12"/>
  <c r="GB39" i="12"/>
  <c r="GA39" i="12"/>
  <c r="FZ39" i="12"/>
  <c r="FY39" i="12"/>
  <c r="FX39" i="12"/>
  <c r="FW39" i="12"/>
  <c r="FV39" i="12"/>
  <c r="FU39" i="12"/>
  <c r="FT39" i="12"/>
  <c r="FS39" i="12"/>
  <c r="FR39" i="12"/>
  <c r="FQ39" i="12"/>
  <c r="FP39" i="12"/>
  <c r="FO39" i="12"/>
  <c r="FN39" i="12"/>
  <c r="FM39" i="12"/>
  <c r="FL39" i="12"/>
  <c r="FK39" i="12"/>
  <c r="FJ39" i="12"/>
  <c r="FI39" i="12"/>
  <c r="FH39" i="12"/>
  <c r="FG39" i="12"/>
  <c r="FF39" i="12"/>
  <c r="FE39" i="12"/>
  <c r="FD39" i="12"/>
  <c r="FC39" i="12"/>
  <c r="FB39" i="12"/>
  <c r="FA39" i="12"/>
  <c r="EZ39" i="12"/>
  <c r="EY39" i="12"/>
  <c r="EX39" i="12"/>
  <c r="EW39" i="12"/>
  <c r="EV39" i="12"/>
  <c r="EU39" i="12"/>
  <c r="ET39" i="12"/>
  <c r="ES39" i="12"/>
  <c r="ER39" i="12"/>
  <c r="EQ39" i="12"/>
  <c r="EP39" i="12"/>
  <c r="EO39" i="12"/>
  <c r="EN39" i="12"/>
  <c r="EM39" i="12"/>
  <c r="EL39" i="12"/>
  <c r="EK39" i="12"/>
  <c r="EJ39" i="12"/>
  <c r="EI39" i="12"/>
  <c r="EH39" i="12"/>
  <c r="EG39" i="12"/>
  <c r="EF39" i="12"/>
  <c r="EE39" i="12"/>
  <c r="ED39" i="12"/>
  <c r="EC39" i="12"/>
  <c r="EB39" i="12"/>
  <c r="EA39" i="12"/>
  <c r="DZ39" i="12"/>
  <c r="DY39" i="12"/>
  <c r="DX39" i="12"/>
  <c r="DW39" i="12"/>
  <c r="DV39" i="12"/>
  <c r="DU39" i="12"/>
  <c r="DT39" i="12"/>
  <c r="DS39" i="12"/>
  <c r="DR39" i="12"/>
  <c r="DQ39" i="12"/>
  <c r="DP39" i="12"/>
  <c r="DO39" i="12"/>
  <c r="DN39" i="12"/>
  <c r="DM39" i="12"/>
  <c r="DL39" i="12"/>
  <c r="DK39" i="12"/>
  <c r="DJ39" i="12"/>
  <c r="DI39" i="12"/>
  <c r="DH39" i="12"/>
  <c r="DG39" i="12"/>
  <c r="DF39" i="12"/>
  <c r="DE39" i="12"/>
  <c r="DD39" i="12"/>
  <c r="DC39" i="12"/>
  <c r="DB39" i="12"/>
  <c r="DA39" i="12"/>
  <c r="CZ39" i="12"/>
  <c r="CY39" i="12"/>
  <c r="CX39" i="12"/>
  <c r="CW39" i="12"/>
  <c r="CV39" i="12"/>
  <c r="CU39" i="12"/>
  <c r="CT39" i="12"/>
  <c r="CS39" i="12"/>
  <c r="CR39" i="12"/>
  <c r="CQ39" i="12"/>
  <c r="CP39" i="12"/>
  <c r="CO39" i="12"/>
  <c r="CN39" i="12"/>
  <c r="CM39" i="12"/>
  <c r="CL39" i="12"/>
  <c r="CK39" i="12"/>
  <c r="CJ39" i="12"/>
  <c r="CI39" i="12"/>
  <c r="CH39" i="12"/>
  <c r="CG39" i="12"/>
  <c r="CF39" i="12"/>
  <c r="CE39" i="12"/>
  <c r="CD39" i="12"/>
  <c r="CC39" i="12"/>
  <c r="CB39" i="12"/>
  <c r="CA39" i="12"/>
  <c r="BZ39" i="12"/>
  <c r="BY39" i="12"/>
  <c r="BX39" i="12"/>
  <c r="BW39" i="12"/>
  <c r="BV39" i="12"/>
  <c r="BU39" i="12"/>
  <c r="BT39" i="12"/>
  <c r="BS39" i="12"/>
  <c r="BR39" i="12"/>
  <c r="BQ39" i="12"/>
  <c r="BP39" i="12"/>
  <c r="BO39" i="12"/>
  <c r="BN39" i="12"/>
  <c r="BM39" i="12"/>
  <c r="BL39" i="12"/>
  <c r="BK39" i="12"/>
  <c r="BJ39" i="12"/>
  <c r="BI39" i="12"/>
  <c r="BH39" i="12"/>
  <c r="BG39" i="12"/>
  <c r="BF39" i="12"/>
  <c r="BE39" i="12"/>
  <c r="BD39" i="12"/>
  <c r="BC39" i="12"/>
  <c r="BB39" i="12"/>
  <c r="BA39" i="12"/>
  <c r="AZ39" i="12"/>
  <c r="AY39" i="12"/>
  <c r="AX39" i="12"/>
  <c r="AW39" i="12"/>
  <c r="AV39" i="12"/>
  <c r="AU39" i="12"/>
  <c r="AT39" i="12"/>
  <c r="AS39" i="12"/>
  <c r="AR39" i="12"/>
  <c r="AQ39" i="12"/>
  <c r="AP39" i="12"/>
  <c r="AO39" i="12"/>
  <c r="AN39" i="12"/>
  <c r="AM39" i="12"/>
  <c r="AL39" i="12"/>
  <c r="AK39" i="12"/>
  <c r="AJ39" i="12"/>
  <c r="AI39" i="12"/>
  <c r="AH39" i="12"/>
  <c r="AG39" i="12"/>
  <c r="AF39" i="12"/>
  <c r="AE39" i="12"/>
  <c r="AD39" i="12"/>
  <c r="AC39" i="12"/>
  <c r="AB39" i="12"/>
  <c r="AA39" i="12"/>
  <c r="Z39" i="12"/>
  <c r="Y39" i="12"/>
  <c r="X39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C39" i="12"/>
  <c r="B39" i="12"/>
  <c r="A39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AJ30" i="12"/>
  <c r="AK30" i="12"/>
  <c r="AL30" i="12"/>
  <c r="AM30" i="12"/>
  <c r="AN30" i="12"/>
  <c r="AO30" i="12"/>
  <c r="AP30" i="12"/>
  <c r="AQ30" i="12"/>
  <c r="AR30" i="12"/>
  <c r="AS30" i="12"/>
  <c r="AT30" i="12"/>
  <c r="AU30" i="12"/>
  <c r="AV30" i="12"/>
  <c r="AW30" i="12"/>
  <c r="AX30" i="12"/>
  <c r="AY30" i="12"/>
  <c r="AZ30" i="12"/>
  <c r="BA30" i="12"/>
  <c r="BB30" i="12"/>
  <c r="BC30" i="12"/>
  <c r="BD30" i="12"/>
  <c r="BE30" i="12"/>
  <c r="BF30" i="12"/>
  <c r="BG30" i="12"/>
  <c r="BH30" i="12"/>
  <c r="BI30" i="12"/>
  <c r="BJ30" i="12"/>
  <c r="BK30" i="12"/>
  <c r="BL30" i="12"/>
  <c r="BM30" i="12"/>
  <c r="BN30" i="12"/>
  <c r="BO30" i="12"/>
  <c r="BP30" i="12"/>
  <c r="BQ30" i="12"/>
  <c r="BR30" i="12"/>
  <c r="BS30" i="12"/>
  <c r="BT30" i="12"/>
  <c r="BU30" i="12"/>
  <c r="BV30" i="12"/>
  <c r="BW30" i="12"/>
  <c r="BX30" i="12"/>
  <c r="BY30" i="12"/>
  <c r="BZ30" i="12"/>
  <c r="CA30" i="12"/>
  <c r="CB30" i="12"/>
  <c r="CC30" i="12"/>
  <c r="CD30" i="12"/>
  <c r="CE30" i="12"/>
  <c r="CF30" i="12"/>
  <c r="CG30" i="12"/>
  <c r="CH30" i="12"/>
  <c r="CI30" i="12"/>
  <c r="CJ30" i="12"/>
  <c r="CK30" i="12"/>
  <c r="CL30" i="12"/>
  <c r="CM30" i="12"/>
  <c r="CN30" i="12"/>
  <c r="CO30" i="12"/>
  <c r="CP30" i="12"/>
  <c r="CQ30" i="12"/>
  <c r="CR30" i="12"/>
  <c r="CS30" i="12"/>
  <c r="CT30" i="12"/>
  <c r="CU30" i="12"/>
  <c r="CV30" i="12"/>
  <c r="CW30" i="12"/>
  <c r="CX30" i="12"/>
  <c r="CY30" i="12"/>
  <c r="CZ30" i="12"/>
  <c r="DA30" i="12"/>
  <c r="DB30" i="12"/>
  <c r="DC30" i="12"/>
  <c r="DD30" i="12"/>
  <c r="DE30" i="12"/>
  <c r="DF30" i="12"/>
  <c r="DG30" i="12"/>
  <c r="DH30" i="12"/>
  <c r="DI30" i="12"/>
  <c r="DJ30" i="12"/>
  <c r="DK30" i="12"/>
  <c r="DL30" i="12"/>
  <c r="DM30" i="12"/>
  <c r="DN30" i="12"/>
  <c r="DO30" i="12"/>
  <c r="DP30" i="12"/>
  <c r="DQ30" i="12"/>
  <c r="DR30" i="12"/>
  <c r="DS30" i="12"/>
  <c r="DT30" i="12"/>
  <c r="DU30" i="12"/>
  <c r="DV30" i="12"/>
  <c r="DW30" i="12"/>
  <c r="DX30" i="12"/>
  <c r="DY30" i="12"/>
  <c r="DZ30" i="12"/>
  <c r="EA30" i="12"/>
  <c r="EB30" i="12"/>
  <c r="EC30" i="12"/>
  <c r="ED30" i="12"/>
  <c r="EE30" i="12"/>
  <c r="EF30" i="12"/>
  <c r="EG30" i="12"/>
  <c r="EH30" i="12"/>
  <c r="EI30" i="12"/>
  <c r="EJ30" i="12"/>
  <c r="EK30" i="12"/>
  <c r="EL30" i="12"/>
  <c r="EM30" i="12"/>
  <c r="EN30" i="12"/>
  <c r="EO30" i="12"/>
  <c r="EP30" i="12"/>
  <c r="EQ30" i="12"/>
  <c r="ER30" i="12"/>
  <c r="ES30" i="12"/>
  <c r="ET30" i="12"/>
  <c r="EU30" i="12"/>
  <c r="EV30" i="12"/>
  <c r="EW30" i="12"/>
  <c r="EX30" i="12"/>
  <c r="EY30" i="12"/>
  <c r="EZ30" i="12"/>
  <c r="FA30" i="12"/>
  <c r="FB30" i="12"/>
  <c r="FC30" i="12"/>
  <c r="FD30" i="12"/>
  <c r="FE30" i="12"/>
  <c r="FF30" i="12"/>
  <c r="FG30" i="12"/>
  <c r="FH30" i="12"/>
  <c r="FI30" i="12"/>
  <c r="FJ30" i="12"/>
  <c r="FK30" i="12"/>
  <c r="FL30" i="12"/>
  <c r="FM30" i="12"/>
  <c r="FN30" i="12"/>
  <c r="FO30" i="12"/>
  <c r="FP30" i="12"/>
  <c r="FQ30" i="12"/>
  <c r="FR30" i="12"/>
  <c r="FS30" i="12"/>
  <c r="FT30" i="12"/>
  <c r="FU30" i="12"/>
  <c r="FV30" i="12"/>
  <c r="FW30" i="12"/>
  <c r="FX30" i="12"/>
  <c r="FY30" i="12"/>
  <c r="FZ30" i="12"/>
  <c r="GA30" i="12"/>
  <c r="GB30" i="12"/>
  <c r="GC30" i="12"/>
  <c r="GD30" i="12"/>
  <c r="GE30" i="12"/>
  <c r="GF30" i="12"/>
  <c r="GG30" i="12"/>
  <c r="GH30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AJ17" i="12"/>
  <c r="AK17" i="12"/>
  <c r="AL17" i="12"/>
  <c r="AM17" i="12"/>
  <c r="AN17" i="12"/>
  <c r="AO17" i="12"/>
  <c r="AP17" i="12"/>
  <c r="AQ17" i="12"/>
  <c r="AR17" i="12"/>
  <c r="AS17" i="12"/>
  <c r="AT17" i="12"/>
  <c r="AU17" i="12"/>
  <c r="AV17" i="12"/>
  <c r="AW17" i="12"/>
  <c r="AX17" i="12"/>
  <c r="AY17" i="12"/>
  <c r="AZ17" i="12"/>
  <c r="BA17" i="12"/>
  <c r="BB17" i="12"/>
  <c r="BC17" i="12"/>
  <c r="BD17" i="12"/>
  <c r="BE17" i="12"/>
  <c r="BF17" i="12"/>
  <c r="BG17" i="12"/>
  <c r="BH17" i="12"/>
  <c r="BI17" i="12"/>
  <c r="BJ17" i="12"/>
  <c r="BK17" i="12"/>
  <c r="BL17" i="12"/>
  <c r="BM17" i="12"/>
  <c r="BN17" i="12"/>
  <c r="BO17" i="12"/>
  <c r="BP17" i="12"/>
  <c r="BQ17" i="12"/>
  <c r="BR17" i="12"/>
  <c r="BS17" i="12"/>
  <c r="BT17" i="12"/>
  <c r="BU17" i="12"/>
  <c r="BV17" i="12"/>
  <c r="BW17" i="12"/>
  <c r="BX17" i="12"/>
  <c r="BY17" i="12"/>
  <c r="BZ17" i="12"/>
  <c r="CA17" i="12"/>
  <c r="CB17" i="12"/>
  <c r="CC17" i="12"/>
  <c r="CD17" i="12"/>
  <c r="CE17" i="12"/>
  <c r="CF17" i="12"/>
  <c r="CG17" i="12"/>
  <c r="CH17" i="12"/>
  <c r="CI17" i="12"/>
  <c r="CJ17" i="12"/>
  <c r="CK17" i="12"/>
  <c r="CL17" i="12"/>
  <c r="CM17" i="12"/>
  <c r="CN17" i="12"/>
  <c r="CO17" i="12"/>
  <c r="CP17" i="12"/>
  <c r="CQ17" i="12"/>
  <c r="CR17" i="12"/>
  <c r="CS17" i="12"/>
  <c r="CT17" i="12"/>
  <c r="CU17" i="12"/>
  <c r="CV17" i="12"/>
  <c r="CW17" i="12"/>
  <c r="CX17" i="12"/>
  <c r="CY17" i="12"/>
  <c r="CZ17" i="12"/>
  <c r="DA17" i="12"/>
  <c r="DB17" i="12"/>
  <c r="DC17" i="12"/>
  <c r="DD17" i="12"/>
  <c r="DE17" i="12"/>
  <c r="DF17" i="12"/>
  <c r="DG17" i="12"/>
  <c r="DH17" i="12"/>
  <c r="DI17" i="12"/>
  <c r="DJ17" i="12"/>
  <c r="DK17" i="12"/>
  <c r="DL17" i="12"/>
  <c r="DM17" i="12"/>
  <c r="DN17" i="12"/>
  <c r="DO17" i="12"/>
  <c r="DP17" i="12"/>
  <c r="DQ17" i="12"/>
  <c r="DR17" i="12"/>
  <c r="DS17" i="12"/>
  <c r="DT17" i="12"/>
  <c r="DU17" i="12"/>
  <c r="DV17" i="12"/>
  <c r="DW17" i="12"/>
  <c r="DX17" i="12"/>
  <c r="DY17" i="12"/>
  <c r="DZ17" i="12"/>
  <c r="EA17" i="12"/>
  <c r="EB17" i="12"/>
  <c r="EC17" i="12"/>
  <c r="ED17" i="12"/>
  <c r="EE17" i="12"/>
  <c r="EF17" i="12"/>
  <c r="EG17" i="12"/>
  <c r="EH17" i="12"/>
  <c r="EI17" i="12"/>
  <c r="EJ17" i="12"/>
  <c r="EK17" i="12"/>
  <c r="EL17" i="12"/>
  <c r="EM17" i="12"/>
  <c r="EN17" i="12"/>
  <c r="EO17" i="12"/>
  <c r="EP17" i="12"/>
  <c r="EQ17" i="12"/>
  <c r="ER17" i="12"/>
  <c r="ES17" i="12"/>
  <c r="ET17" i="12"/>
  <c r="EU17" i="12"/>
  <c r="EV17" i="12"/>
  <c r="EW17" i="12"/>
  <c r="EX17" i="12"/>
  <c r="EY17" i="12"/>
  <c r="EZ17" i="12"/>
  <c r="FA17" i="12"/>
  <c r="FB17" i="12"/>
  <c r="FC17" i="12"/>
  <c r="FD17" i="12"/>
  <c r="FE17" i="12"/>
  <c r="FF17" i="12"/>
  <c r="FG17" i="12"/>
  <c r="FH17" i="12"/>
  <c r="FI17" i="12"/>
  <c r="FJ17" i="12"/>
  <c r="FK17" i="12"/>
  <c r="FL17" i="12"/>
  <c r="FM17" i="12"/>
  <c r="FN17" i="12"/>
  <c r="FO17" i="12"/>
  <c r="FP17" i="12"/>
  <c r="FQ17" i="12"/>
  <c r="FR17" i="12"/>
  <c r="FS17" i="12"/>
  <c r="FT17" i="12"/>
  <c r="FU17" i="12"/>
  <c r="FV17" i="12"/>
  <c r="FW17" i="12"/>
  <c r="FX17" i="12"/>
  <c r="FY17" i="12"/>
  <c r="FZ17" i="12"/>
  <c r="GA17" i="12"/>
  <c r="GB17" i="12"/>
  <c r="GC17" i="12"/>
  <c r="GD17" i="12"/>
  <c r="GE17" i="12"/>
  <c r="GF17" i="12"/>
  <c r="GG17" i="12"/>
  <c r="GH17" i="12"/>
  <c r="GI17" i="12"/>
  <c r="GJ17" i="12"/>
  <c r="GK17" i="12"/>
  <c r="GL17" i="12"/>
  <c r="GM17" i="12"/>
  <c r="GN17" i="12"/>
  <c r="GO17" i="12"/>
  <c r="GP17" i="12"/>
  <c r="GQ17" i="12"/>
  <c r="GR17" i="12"/>
  <c r="GS17" i="12"/>
  <c r="GT17" i="12"/>
  <c r="GU17" i="12"/>
  <c r="GV17" i="12"/>
  <c r="GW17" i="12"/>
  <c r="GX17" i="12"/>
  <c r="GY17" i="12"/>
  <c r="GZ17" i="12"/>
  <c r="HA17" i="12"/>
  <c r="HB17" i="12"/>
  <c r="HC17" i="12"/>
  <c r="HD17" i="12"/>
  <c r="HE17" i="12"/>
  <c r="HF17" i="12"/>
  <c r="HG17" i="12"/>
  <c r="HH17" i="12"/>
  <c r="HI17" i="12"/>
  <c r="HJ17" i="12"/>
  <c r="HK17" i="12"/>
  <c r="HL17" i="12"/>
  <c r="HM17" i="12"/>
  <c r="HN17" i="12"/>
  <c r="HO17" i="12"/>
  <c r="HP17" i="12"/>
  <c r="HQ17" i="12"/>
  <c r="HR17" i="12"/>
  <c r="HS17" i="12"/>
  <c r="HT17" i="12"/>
  <c r="HU17" i="12"/>
  <c r="HV17" i="12"/>
  <c r="HW17" i="12"/>
  <c r="HX17" i="12"/>
  <c r="HY17" i="12"/>
  <c r="HZ17" i="12"/>
  <c r="IA17" i="12"/>
  <c r="IB17" i="12"/>
  <c r="IC17" i="12"/>
  <c r="ID17" i="12"/>
  <c r="IE17" i="12"/>
  <c r="IF17" i="12"/>
  <c r="IG17" i="12"/>
  <c r="IH17" i="12"/>
  <c r="II17" i="12"/>
  <c r="IJ17" i="12"/>
  <c r="IK17" i="12"/>
  <c r="IL17" i="12"/>
  <c r="IM17" i="12"/>
  <c r="IN17" i="12"/>
  <c r="IO17" i="12"/>
  <c r="IP17" i="12"/>
  <c r="IQ17" i="12"/>
  <c r="IR17" i="12"/>
  <c r="IS17" i="12"/>
  <c r="IT17" i="12"/>
  <c r="IU17" i="12"/>
  <c r="IV17" i="12"/>
  <c r="IW17" i="12"/>
  <c r="IX17" i="12"/>
  <c r="IY17" i="12"/>
  <c r="IZ17" i="12"/>
  <c r="JA17" i="12"/>
  <c r="JB17" i="12"/>
  <c r="JC17" i="12"/>
  <c r="JD17" i="12"/>
  <c r="JE17" i="12"/>
  <c r="JF17" i="12"/>
  <c r="JG17" i="12"/>
  <c r="JH17" i="12"/>
  <c r="JI17" i="12"/>
  <c r="JJ17" i="12"/>
  <c r="JK17" i="12"/>
  <c r="JL17" i="12"/>
  <c r="JM17" i="12"/>
  <c r="JN17" i="12"/>
  <c r="JO17" i="12"/>
  <c r="JP17" i="12"/>
  <c r="B48" i="10"/>
  <c r="B28" i="10"/>
  <c r="B27" i="10"/>
  <c r="AU48" i="10"/>
  <c r="AV48" i="10"/>
  <c r="AW48" i="10"/>
  <c r="AX48" i="10"/>
  <c r="AY48" i="10"/>
  <c r="AZ48" i="10"/>
  <c r="BA48" i="10"/>
  <c r="BB48" i="10"/>
  <c r="BC48" i="10"/>
  <c r="BD48" i="10"/>
  <c r="BE48" i="10"/>
  <c r="BF48" i="10"/>
  <c r="BG48" i="10"/>
  <c r="BH48" i="10"/>
  <c r="BI48" i="10"/>
  <c r="BJ48" i="10"/>
  <c r="BK48" i="10"/>
  <c r="BL48" i="10"/>
  <c r="BM48" i="10"/>
  <c r="BN48" i="10"/>
  <c r="BO48" i="10"/>
  <c r="BP48" i="10"/>
  <c r="BQ48" i="10"/>
  <c r="BR48" i="10"/>
  <c r="BS48" i="10"/>
  <c r="BT48" i="10"/>
  <c r="BU48" i="10"/>
  <c r="BV48" i="10"/>
  <c r="BW48" i="10"/>
  <c r="BX48" i="10"/>
  <c r="BY48" i="10"/>
  <c r="BZ48" i="10"/>
  <c r="CA48" i="10"/>
  <c r="CB48" i="10"/>
  <c r="CC48" i="10"/>
  <c r="CD48" i="10"/>
  <c r="CE48" i="10"/>
  <c r="CF48" i="10"/>
  <c r="CG48" i="10"/>
  <c r="CH48" i="10"/>
  <c r="CI48" i="10"/>
  <c r="D7" i="16"/>
  <c r="D8" i="16"/>
  <c r="D9" i="16"/>
  <c r="D6" i="16"/>
  <c r="D11" i="16" s="1"/>
  <c r="AU44" i="10"/>
  <c r="AV44" i="10"/>
  <c r="AW44" i="10"/>
  <c r="AX44" i="10"/>
  <c r="AY44" i="10"/>
  <c r="AZ44" i="10"/>
  <c r="BA44" i="10"/>
  <c r="BB44" i="10"/>
  <c r="BC44" i="10"/>
  <c r="BD44" i="10"/>
  <c r="BE44" i="10"/>
  <c r="BF44" i="10"/>
  <c r="BG44" i="10"/>
  <c r="BH44" i="10"/>
  <c r="BI44" i="10"/>
  <c r="BJ44" i="10"/>
  <c r="BK44" i="10"/>
  <c r="BL44" i="10"/>
  <c r="BM44" i="10"/>
  <c r="BN44" i="10"/>
  <c r="BO44" i="10"/>
  <c r="AU45" i="10"/>
  <c r="AV45" i="10"/>
  <c r="AW45" i="10"/>
  <c r="AX45" i="10"/>
  <c r="AY45" i="10"/>
  <c r="AZ45" i="10"/>
  <c r="BA45" i="10"/>
  <c r="BB45" i="10"/>
  <c r="BC45" i="10"/>
  <c r="BD45" i="10"/>
  <c r="BE45" i="10"/>
  <c r="BF45" i="10"/>
  <c r="BG45" i="10"/>
  <c r="BH45" i="10"/>
  <c r="BI45" i="10"/>
  <c r="BJ45" i="10"/>
  <c r="BK45" i="10"/>
  <c r="BL45" i="10"/>
  <c r="BM45" i="10"/>
  <c r="BN45" i="10"/>
  <c r="BO45" i="10"/>
  <c r="AU46" i="10"/>
  <c r="AV46" i="10"/>
  <c r="AW46" i="10"/>
  <c r="AX46" i="10"/>
  <c r="AY46" i="10"/>
  <c r="AZ46" i="10"/>
  <c r="BA46" i="10"/>
  <c r="BB46" i="10"/>
  <c r="BC46" i="10"/>
  <c r="BD46" i="10"/>
  <c r="BE46" i="10"/>
  <c r="BF46" i="10"/>
  <c r="BG46" i="10"/>
  <c r="BH46" i="10"/>
  <c r="BI46" i="10"/>
  <c r="BJ46" i="10"/>
  <c r="BK46" i="10"/>
  <c r="BL46" i="10"/>
  <c r="BM46" i="10"/>
  <c r="BN46" i="10"/>
  <c r="BO46" i="10"/>
  <c r="AU47" i="10"/>
  <c r="AV47" i="10"/>
  <c r="AW47" i="10"/>
  <c r="AX47" i="10"/>
  <c r="AY47" i="10"/>
  <c r="AZ47" i="10"/>
  <c r="BA47" i="10"/>
  <c r="BB47" i="10"/>
  <c r="BC47" i="10"/>
  <c r="BD47" i="10"/>
  <c r="BE47" i="10"/>
  <c r="BF47" i="10"/>
  <c r="BG47" i="10"/>
  <c r="BH47" i="10"/>
  <c r="BI47" i="10"/>
  <c r="BJ47" i="10"/>
  <c r="BK47" i="10"/>
  <c r="BL47" i="10"/>
  <c r="BM47" i="10"/>
  <c r="BN47" i="10"/>
  <c r="BO47" i="10"/>
  <c r="BP44" i="10"/>
  <c r="BQ44" i="10"/>
  <c r="BR44" i="10"/>
  <c r="BS44" i="10"/>
  <c r="BT44" i="10"/>
  <c r="BU44" i="10"/>
  <c r="BV44" i="10"/>
  <c r="BW44" i="10"/>
  <c r="BX44" i="10"/>
  <c r="BY44" i="10"/>
  <c r="BZ44" i="10"/>
  <c r="CA44" i="10"/>
  <c r="CB44" i="10"/>
  <c r="CC44" i="10"/>
  <c r="CD44" i="10"/>
  <c r="CE44" i="10"/>
  <c r="CF44" i="10"/>
  <c r="CG44" i="10"/>
  <c r="CH44" i="10"/>
  <c r="CI44" i="10"/>
  <c r="BP45" i="10"/>
  <c r="BQ45" i="10"/>
  <c r="BR45" i="10"/>
  <c r="BS45" i="10"/>
  <c r="BT45" i="10"/>
  <c r="BU45" i="10"/>
  <c r="BV45" i="10"/>
  <c r="BW45" i="10"/>
  <c r="BX45" i="10"/>
  <c r="BY45" i="10"/>
  <c r="BZ45" i="10"/>
  <c r="CA45" i="10"/>
  <c r="CB45" i="10"/>
  <c r="CC45" i="10"/>
  <c r="CD45" i="10"/>
  <c r="CE45" i="10"/>
  <c r="CF45" i="10"/>
  <c r="CG45" i="10"/>
  <c r="CH45" i="10"/>
  <c r="CI45" i="10"/>
  <c r="BP46" i="10"/>
  <c r="BQ46" i="10"/>
  <c r="BR46" i="10"/>
  <c r="BS46" i="10"/>
  <c r="BT46" i="10"/>
  <c r="BU46" i="10"/>
  <c r="BV46" i="10"/>
  <c r="BW46" i="10"/>
  <c r="BX46" i="10"/>
  <c r="BY46" i="10"/>
  <c r="BZ46" i="10"/>
  <c r="CA46" i="10"/>
  <c r="CB46" i="10"/>
  <c r="CC46" i="10"/>
  <c r="CD46" i="10"/>
  <c r="CE46" i="10"/>
  <c r="CF46" i="10"/>
  <c r="CG46" i="10"/>
  <c r="CH46" i="10"/>
  <c r="CI46" i="10"/>
  <c r="BP47" i="10"/>
  <c r="BQ47" i="10"/>
  <c r="BR47" i="10"/>
  <c r="BS47" i="10"/>
  <c r="BT47" i="10"/>
  <c r="BU47" i="10"/>
  <c r="BV47" i="10"/>
  <c r="BW47" i="10"/>
  <c r="BX47" i="10"/>
  <c r="BY47" i="10"/>
  <c r="BZ47" i="10"/>
  <c r="CA47" i="10"/>
  <c r="CB47" i="10"/>
  <c r="CC47" i="10"/>
  <c r="CD47" i="10"/>
  <c r="CE47" i="10"/>
  <c r="CF47" i="10"/>
  <c r="CG47" i="10"/>
  <c r="CH47" i="10"/>
  <c r="CI47" i="10"/>
  <c r="T2" i="12"/>
  <c r="A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U2" i="12"/>
  <c r="V2" i="12"/>
  <c r="W2" i="12"/>
  <c r="X2" i="12"/>
  <c r="Y2" i="12"/>
  <c r="Z2" i="12"/>
  <c r="AA2" i="12"/>
  <c r="AB2" i="12"/>
  <c r="AC2" i="12"/>
  <c r="AD2" i="12"/>
  <c r="AE2" i="12"/>
  <c r="AG2" i="12"/>
  <c r="AH2" i="12"/>
  <c r="AI2" i="12"/>
  <c r="AJ2" i="12"/>
  <c r="AK2" i="12"/>
  <c r="AL2" i="12"/>
  <c r="AM2" i="12"/>
  <c r="AN2" i="12"/>
  <c r="AO2" i="12"/>
  <c r="AP2" i="12"/>
  <c r="AQ2" i="12"/>
  <c r="AR2" i="12"/>
  <c r="AS2" i="12"/>
  <c r="AT2" i="12"/>
  <c r="AU2" i="12"/>
  <c r="AV2" i="12"/>
  <c r="AW2" i="12"/>
  <c r="AX2" i="12"/>
  <c r="AY2" i="12"/>
  <c r="AZ2" i="12"/>
  <c r="BA2" i="12"/>
  <c r="BB2" i="12"/>
  <c r="BC2" i="12"/>
  <c r="BD2" i="12"/>
  <c r="BE2" i="12"/>
  <c r="BF2" i="12"/>
  <c r="BG2" i="12"/>
  <c r="BH2" i="12"/>
  <c r="BI2" i="12"/>
  <c r="BJ2" i="12"/>
  <c r="BK2" i="12"/>
  <c r="BL2" i="12"/>
  <c r="BM2" i="12"/>
  <c r="BN2" i="12"/>
  <c r="BO2" i="12"/>
  <c r="BP2" i="12"/>
  <c r="BQ2" i="12"/>
  <c r="BR2" i="12"/>
  <c r="BS2" i="12"/>
  <c r="BT2" i="12"/>
  <c r="BU2" i="12"/>
  <c r="BV2" i="12"/>
  <c r="BW2" i="12"/>
  <c r="BX2" i="12"/>
  <c r="BY2" i="12"/>
  <c r="BZ2" i="12"/>
  <c r="CA2" i="12"/>
  <c r="CB2" i="12"/>
  <c r="CC2" i="12"/>
  <c r="CD2" i="12"/>
  <c r="CE2" i="12"/>
  <c r="CF2" i="12"/>
  <c r="CG2" i="12"/>
  <c r="CH2" i="12"/>
  <c r="CI2" i="12"/>
  <c r="CJ2" i="12"/>
  <c r="CK2" i="12"/>
  <c r="CL2" i="12"/>
  <c r="CM2" i="12"/>
  <c r="CN2" i="12"/>
  <c r="CO2" i="12"/>
  <c r="CP2" i="12"/>
  <c r="CQ2" i="12"/>
  <c r="CR2" i="12"/>
  <c r="CS2" i="12"/>
  <c r="CT2" i="12"/>
  <c r="CU2" i="12"/>
  <c r="CV2" i="12"/>
  <c r="CW2" i="12"/>
  <c r="CX2" i="12"/>
  <c r="CY2" i="12"/>
  <c r="CZ2" i="12"/>
  <c r="DA2" i="12"/>
  <c r="DB2" i="12"/>
  <c r="DC2" i="12"/>
  <c r="DD2" i="12"/>
  <c r="DE2" i="12"/>
  <c r="DF2" i="12"/>
  <c r="DG2" i="12"/>
  <c r="DH2" i="12"/>
  <c r="DI2" i="12"/>
  <c r="DJ2" i="12"/>
  <c r="DK2" i="12"/>
  <c r="DL2" i="12"/>
  <c r="DM2" i="12"/>
  <c r="DN2" i="12"/>
  <c r="DO2" i="12"/>
  <c r="DP2" i="12"/>
  <c r="DQ2" i="12"/>
  <c r="DR2" i="12"/>
  <c r="DS2" i="12"/>
  <c r="DT2" i="12"/>
  <c r="DU2" i="12"/>
  <c r="DV2" i="12"/>
  <c r="DW2" i="12"/>
  <c r="DX2" i="12"/>
  <c r="DY2" i="12"/>
  <c r="DZ2" i="12"/>
  <c r="EA2" i="12"/>
  <c r="EB2" i="12"/>
  <c r="EC2" i="12"/>
  <c r="ED2" i="12"/>
  <c r="EE2" i="12"/>
  <c r="EF2" i="12"/>
  <c r="EG2" i="12"/>
  <c r="EH2" i="12"/>
  <c r="EI2" i="12"/>
  <c r="EJ2" i="12"/>
  <c r="EK2" i="12"/>
  <c r="EL2" i="12"/>
  <c r="EM2" i="12"/>
  <c r="EN2" i="12"/>
  <c r="EO2" i="12"/>
  <c r="EP2" i="12"/>
  <c r="EQ2" i="12"/>
  <c r="ER2" i="12"/>
  <c r="ES2" i="12"/>
  <c r="ET2" i="12"/>
  <c r="EU2" i="12"/>
  <c r="EV2" i="12"/>
  <c r="EW2" i="12"/>
  <c r="EX2" i="12"/>
  <c r="EY2" i="12"/>
  <c r="EZ2" i="12"/>
  <c r="FA2" i="12"/>
  <c r="FB2" i="12"/>
  <c r="FC2" i="12"/>
  <c r="FD2" i="12"/>
  <c r="FE2" i="12"/>
  <c r="FF2" i="12"/>
  <c r="FG2" i="12"/>
  <c r="FH2" i="12"/>
  <c r="FI2" i="12"/>
  <c r="FJ2" i="12"/>
  <c r="FK2" i="12"/>
  <c r="FL2" i="12"/>
  <c r="FM2" i="12"/>
  <c r="FN2" i="12"/>
  <c r="FO2" i="12"/>
  <c r="FP2" i="12"/>
  <c r="FQ2" i="12"/>
  <c r="FR2" i="12"/>
  <c r="FS2" i="12"/>
  <c r="FT2" i="12"/>
  <c r="FU2" i="12"/>
  <c r="FV2" i="12"/>
  <c r="FW2" i="12"/>
  <c r="FX2" i="12"/>
  <c r="FY2" i="12"/>
  <c r="FZ2" i="12"/>
  <c r="GA2" i="12"/>
  <c r="GB2" i="12"/>
  <c r="GC2" i="12"/>
  <c r="GD2" i="12"/>
  <c r="GE2" i="12"/>
  <c r="GF2" i="12"/>
  <c r="GG2" i="12"/>
  <c r="GH2" i="12"/>
  <c r="GI2" i="12"/>
  <c r="GJ2" i="12"/>
  <c r="GK2" i="12"/>
  <c r="GL2" i="12"/>
  <c r="GM2" i="12"/>
  <c r="GN2" i="12"/>
  <c r="GO2" i="12"/>
  <c r="GP2" i="12"/>
  <c r="GQ2" i="12"/>
  <c r="GR2" i="12"/>
  <c r="GS2" i="12"/>
  <c r="GT2" i="12"/>
  <c r="GU2" i="12"/>
  <c r="GV2" i="12"/>
  <c r="GW2" i="12"/>
  <c r="GX2" i="12"/>
  <c r="GY2" i="12"/>
  <c r="GZ2" i="12"/>
  <c r="HA2" i="12"/>
  <c r="HB2" i="12"/>
  <c r="HC2" i="12"/>
  <c r="HD2" i="12"/>
  <c r="HE2" i="12"/>
  <c r="HF2" i="12"/>
  <c r="HG2" i="12"/>
  <c r="HH2" i="12"/>
  <c r="HI2" i="12"/>
  <c r="HJ2" i="12"/>
  <c r="HK2" i="12"/>
  <c r="HL2" i="12"/>
  <c r="F2" i="12"/>
  <c r="A12" i="12"/>
  <c r="A7" i="12" s="1"/>
  <c r="A13" i="12"/>
  <c r="A14" i="12"/>
  <c r="A15" i="12"/>
  <c r="A17" i="12"/>
  <c r="A24" i="12"/>
  <c r="A25" i="12"/>
  <c r="A26" i="12"/>
  <c r="A27" i="12"/>
  <c r="A28" i="12"/>
  <c r="A30" i="12"/>
  <c r="A35" i="12"/>
  <c r="A36" i="12"/>
  <c r="A37" i="12"/>
  <c r="A38" i="12"/>
  <c r="A40" i="12"/>
  <c r="U34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F35" i="12"/>
  <c r="AG35" i="12"/>
  <c r="AH35" i="12"/>
  <c r="AI35" i="12"/>
  <c r="AJ35" i="12"/>
  <c r="AK35" i="12"/>
  <c r="AL35" i="12"/>
  <c r="AM35" i="12"/>
  <c r="AN35" i="12"/>
  <c r="AO35" i="12"/>
  <c r="AP35" i="12"/>
  <c r="AQ35" i="12"/>
  <c r="AR35" i="12"/>
  <c r="AS35" i="12"/>
  <c r="AT35" i="12"/>
  <c r="AU35" i="12"/>
  <c r="AV35" i="12"/>
  <c r="AW35" i="12"/>
  <c r="AX35" i="12"/>
  <c r="AY35" i="12"/>
  <c r="AZ35" i="12"/>
  <c r="BA35" i="12"/>
  <c r="BB35" i="12"/>
  <c r="BC35" i="12"/>
  <c r="BD35" i="12"/>
  <c r="BE35" i="12"/>
  <c r="BF35" i="12"/>
  <c r="BG35" i="12"/>
  <c r="BH35" i="12"/>
  <c r="BI35" i="12"/>
  <c r="BJ35" i="12"/>
  <c r="BK35" i="12"/>
  <c r="BL35" i="12"/>
  <c r="BM35" i="12"/>
  <c r="BN35" i="12"/>
  <c r="BO35" i="12"/>
  <c r="BP35" i="12"/>
  <c r="BQ35" i="12"/>
  <c r="BR35" i="12"/>
  <c r="BS35" i="12"/>
  <c r="BT35" i="12"/>
  <c r="BU35" i="12"/>
  <c r="BV35" i="12"/>
  <c r="BW35" i="12"/>
  <c r="BX35" i="12"/>
  <c r="BY35" i="12"/>
  <c r="BZ35" i="12"/>
  <c r="CA35" i="12"/>
  <c r="CB35" i="12"/>
  <c r="CC35" i="12"/>
  <c r="CD35" i="12"/>
  <c r="CE35" i="12"/>
  <c r="CF35" i="12"/>
  <c r="CG35" i="12"/>
  <c r="CH35" i="12"/>
  <c r="CI35" i="12"/>
  <c r="CJ35" i="12"/>
  <c r="CK35" i="12"/>
  <c r="CL35" i="12"/>
  <c r="CM35" i="12"/>
  <c r="CN35" i="12"/>
  <c r="CO35" i="12"/>
  <c r="CP35" i="12"/>
  <c r="CQ35" i="12"/>
  <c r="CR35" i="12"/>
  <c r="CS35" i="12"/>
  <c r="CT35" i="12"/>
  <c r="CU35" i="12"/>
  <c r="CV35" i="12"/>
  <c r="CW35" i="12"/>
  <c r="CX35" i="12"/>
  <c r="CY35" i="12"/>
  <c r="CZ35" i="12"/>
  <c r="DA35" i="12"/>
  <c r="DB35" i="12"/>
  <c r="DC35" i="12"/>
  <c r="DD35" i="12"/>
  <c r="DE35" i="12"/>
  <c r="DF35" i="12"/>
  <c r="DG35" i="12"/>
  <c r="DH35" i="12"/>
  <c r="DI35" i="12"/>
  <c r="DJ35" i="12"/>
  <c r="DK35" i="12"/>
  <c r="DL35" i="12"/>
  <c r="DM35" i="12"/>
  <c r="DN35" i="12"/>
  <c r="DO35" i="12"/>
  <c r="DP35" i="12"/>
  <c r="DQ35" i="12"/>
  <c r="DR35" i="12"/>
  <c r="DS35" i="12"/>
  <c r="DT35" i="12"/>
  <c r="DU35" i="12"/>
  <c r="DV35" i="12"/>
  <c r="DW35" i="12"/>
  <c r="DX35" i="12"/>
  <c r="DY35" i="12"/>
  <c r="DZ35" i="12"/>
  <c r="EA35" i="12"/>
  <c r="EB35" i="12"/>
  <c r="EC35" i="12"/>
  <c r="ED35" i="12"/>
  <c r="EE35" i="12"/>
  <c r="EF35" i="12"/>
  <c r="EG35" i="12"/>
  <c r="EH35" i="12"/>
  <c r="EI35" i="12"/>
  <c r="EJ35" i="12"/>
  <c r="EK35" i="12"/>
  <c r="EL35" i="12"/>
  <c r="EM35" i="12"/>
  <c r="EN35" i="12"/>
  <c r="EO35" i="12"/>
  <c r="EP35" i="12"/>
  <c r="EQ35" i="12"/>
  <c r="ER35" i="12"/>
  <c r="ES35" i="12"/>
  <c r="ET35" i="12"/>
  <c r="EU35" i="12"/>
  <c r="EV35" i="12"/>
  <c r="EW35" i="12"/>
  <c r="EX35" i="12"/>
  <c r="EY35" i="12"/>
  <c r="EZ35" i="12"/>
  <c r="FA35" i="12"/>
  <c r="FB35" i="12"/>
  <c r="FC35" i="12"/>
  <c r="FD35" i="12"/>
  <c r="FE35" i="12"/>
  <c r="FF35" i="12"/>
  <c r="FG35" i="12"/>
  <c r="FH35" i="12"/>
  <c r="FI35" i="12"/>
  <c r="FJ35" i="12"/>
  <c r="FK35" i="12"/>
  <c r="FL35" i="12"/>
  <c r="FM35" i="12"/>
  <c r="FN35" i="12"/>
  <c r="FO35" i="12"/>
  <c r="FP35" i="12"/>
  <c r="FQ35" i="12"/>
  <c r="FR35" i="12"/>
  <c r="FS35" i="12"/>
  <c r="FT35" i="12"/>
  <c r="FU35" i="12"/>
  <c r="FV35" i="12"/>
  <c r="FW35" i="12"/>
  <c r="FX35" i="12"/>
  <c r="FY35" i="12"/>
  <c r="FZ35" i="12"/>
  <c r="GA35" i="12"/>
  <c r="GB35" i="12"/>
  <c r="GC35" i="12"/>
  <c r="GD35" i="12"/>
  <c r="GE35" i="12"/>
  <c r="GF35" i="12"/>
  <c r="GG35" i="12"/>
  <c r="GH35" i="12"/>
  <c r="GI35" i="12"/>
  <c r="GJ35" i="12"/>
  <c r="GK35" i="12"/>
  <c r="GL35" i="12"/>
  <c r="GM35" i="12"/>
  <c r="GN35" i="12"/>
  <c r="GO35" i="12"/>
  <c r="GP35" i="12"/>
  <c r="GQ35" i="12"/>
  <c r="GR35" i="12"/>
  <c r="GS35" i="12"/>
  <c r="GT35" i="12"/>
  <c r="GU35" i="12"/>
  <c r="GV35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AJ36" i="12"/>
  <c r="AK36" i="12"/>
  <c r="AL36" i="12"/>
  <c r="AM36" i="12"/>
  <c r="AN36" i="12"/>
  <c r="AO36" i="12"/>
  <c r="AP36" i="12"/>
  <c r="AQ36" i="12"/>
  <c r="AR36" i="12"/>
  <c r="AS36" i="12"/>
  <c r="AT36" i="12"/>
  <c r="AU36" i="12"/>
  <c r="AV36" i="12"/>
  <c r="AW36" i="12"/>
  <c r="AX36" i="12"/>
  <c r="AY36" i="12"/>
  <c r="AZ36" i="12"/>
  <c r="BA36" i="12"/>
  <c r="BB36" i="12"/>
  <c r="BC36" i="12"/>
  <c r="BD36" i="12"/>
  <c r="BE36" i="12"/>
  <c r="BF36" i="12"/>
  <c r="BG36" i="12"/>
  <c r="BH36" i="12"/>
  <c r="BI36" i="12"/>
  <c r="BJ36" i="12"/>
  <c r="BK36" i="12"/>
  <c r="BL36" i="12"/>
  <c r="BM36" i="12"/>
  <c r="BN36" i="12"/>
  <c r="BO36" i="12"/>
  <c r="BP36" i="12"/>
  <c r="BQ36" i="12"/>
  <c r="BR36" i="12"/>
  <c r="BS36" i="12"/>
  <c r="BT36" i="12"/>
  <c r="BU36" i="12"/>
  <c r="BV36" i="12"/>
  <c r="BW36" i="12"/>
  <c r="BX36" i="12"/>
  <c r="BY36" i="12"/>
  <c r="BZ36" i="12"/>
  <c r="CA36" i="12"/>
  <c r="CB36" i="12"/>
  <c r="CC36" i="12"/>
  <c r="CD36" i="12"/>
  <c r="CE36" i="12"/>
  <c r="CF36" i="12"/>
  <c r="CG36" i="12"/>
  <c r="CH36" i="12"/>
  <c r="CI36" i="12"/>
  <c r="CJ36" i="12"/>
  <c r="CK36" i="12"/>
  <c r="CL36" i="12"/>
  <c r="CM36" i="12"/>
  <c r="CN36" i="12"/>
  <c r="CO36" i="12"/>
  <c r="CP36" i="12"/>
  <c r="CQ36" i="12"/>
  <c r="CR36" i="12"/>
  <c r="CS36" i="12"/>
  <c r="CT36" i="12"/>
  <c r="CU36" i="12"/>
  <c r="CV36" i="12"/>
  <c r="CW36" i="12"/>
  <c r="CX36" i="12"/>
  <c r="CY36" i="12"/>
  <c r="CZ36" i="12"/>
  <c r="DA36" i="12"/>
  <c r="DB36" i="12"/>
  <c r="DC36" i="12"/>
  <c r="DD36" i="12"/>
  <c r="DE36" i="12"/>
  <c r="DF36" i="12"/>
  <c r="DG36" i="12"/>
  <c r="DH36" i="12"/>
  <c r="DI36" i="12"/>
  <c r="DJ36" i="12"/>
  <c r="DK36" i="12"/>
  <c r="DL36" i="12"/>
  <c r="DM36" i="12"/>
  <c r="DN36" i="12"/>
  <c r="DO36" i="12"/>
  <c r="DP36" i="12"/>
  <c r="DQ36" i="12"/>
  <c r="DR36" i="12"/>
  <c r="DS36" i="12"/>
  <c r="DT36" i="12"/>
  <c r="DU36" i="12"/>
  <c r="DV36" i="12"/>
  <c r="DW36" i="12"/>
  <c r="DX36" i="12"/>
  <c r="DY36" i="12"/>
  <c r="DZ36" i="12"/>
  <c r="EA36" i="12"/>
  <c r="EB36" i="12"/>
  <c r="EC36" i="12"/>
  <c r="ED36" i="12"/>
  <c r="EE36" i="12"/>
  <c r="EF36" i="12"/>
  <c r="EG36" i="12"/>
  <c r="EH36" i="12"/>
  <c r="EI36" i="12"/>
  <c r="EJ36" i="12"/>
  <c r="EK36" i="12"/>
  <c r="EL36" i="12"/>
  <c r="EM36" i="12"/>
  <c r="EN36" i="12"/>
  <c r="EO36" i="12"/>
  <c r="EP36" i="12"/>
  <c r="EQ36" i="12"/>
  <c r="ER36" i="12"/>
  <c r="ES36" i="12"/>
  <c r="ET36" i="12"/>
  <c r="EU36" i="12"/>
  <c r="EV36" i="12"/>
  <c r="EW36" i="12"/>
  <c r="EX36" i="12"/>
  <c r="EY36" i="12"/>
  <c r="EZ36" i="12"/>
  <c r="FA36" i="12"/>
  <c r="FB36" i="12"/>
  <c r="FC36" i="12"/>
  <c r="FD36" i="12"/>
  <c r="FE36" i="12"/>
  <c r="FF36" i="12"/>
  <c r="FG36" i="12"/>
  <c r="FH36" i="12"/>
  <c r="FI36" i="12"/>
  <c r="FJ36" i="12"/>
  <c r="FK36" i="12"/>
  <c r="FL36" i="12"/>
  <c r="FM36" i="12"/>
  <c r="FN36" i="12"/>
  <c r="FO36" i="12"/>
  <c r="FP36" i="12"/>
  <c r="FQ36" i="12"/>
  <c r="FR36" i="12"/>
  <c r="FS36" i="12"/>
  <c r="FT36" i="12"/>
  <c r="FU36" i="12"/>
  <c r="FV36" i="12"/>
  <c r="FW36" i="12"/>
  <c r="FX36" i="12"/>
  <c r="FY36" i="12"/>
  <c r="FZ36" i="12"/>
  <c r="GA36" i="12"/>
  <c r="GB36" i="12"/>
  <c r="GC36" i="12"/>
  <c r="GD36" i="12"/>
  <c r="GE36" i="12"/>
  <c r="GF36" i="12"/>
  <c r="GG36" i="12"/>
  <c r="GH36" i="12"/>
  <c r="GI36" i="12"/>
  <c r="GJ36" i="12"/>
  <c r="GK36" i="12"/>
  <c r="GL36" i="12"/>
  <c r="GM36" i="12"/>
  <c r="GN36" i="12"/>
  <c r="GO36" i="12"/>
  <c r="GP36" i="12"/>
  <c r="GQ36" i="12"/>
  <c r="GR36" i="12"/>
  <c r="GS36" i="12"/>
  <c r="GT36" i="12"/>
  <c r="GU36" i="12"/>
  <c r="GV36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AJ37" i="12"/>
  <c r="AK37" i="12"/>
  <c r="AL37" i="12"/>
  <c r="AM37" i="12"/>
  <c r="AN37" i="12"/>
  <c r="AO37" i="12"/>
  <c r="AP37" i="12"/>
  <c r="AQ37" i="12"/>
  <c r="AR37" i="12"/>
  <c r="AS37" i="12"/>
  <c r="AT37" i="12"/>
  <c r="AU37" i="12"/>
  <c r="AV37" i="12"/>
  <c r="AW37" i="12"/>
  <c r="AX37" i="12"/>
  <c r="AY37" i="12"/>
  <c r="AZ37" i="12"/>
  <c r="BA37" i="12"/>
  <c r="BB37" i="12"/>
  <c r="BC37" i="12"/>
  <c r="BD37" i="12"/>
  <c r="BE37" i="12"/>
  <c r="BF37" i="12"/>
  <c r="BG37" i="12"/>
  <c r="BH37" i="12"/>
  <c r="BI37" i="12"/>
  <c r="BJ37" i="12"/>
  <c r="BK37" i="12"/>
  <c r="BL37" i="12"/>
  <c r="BM37" i="12"/>
  <c r="BN37" i="12"/>
  <c r="BO37" i="12"/>
  <c r="BP37" i="12"/>
  <c r="BQ37" i="12"/>
  <c r="BR37" i="12"/>
  <c r="BS37" i="12"/>
  <c r="BT37" i="12"/>
  <c r="BU37" i="12"/>
  <c r="BV37" i="12"/>
  <c r="BW37" i="12"/>
  <c r="BX37" i="12"/>
  <c r="BY37" i="12"/>
  <c r="BZ37" i="12"/>
  <c r="CA37" i="12"/>
  <c r="CB37" i="12"/>
  <c r="CC37" i="12"/>
  <c r="CD37" i="12"/>
  <c r="CE37" i="12"/>
  <c r="CF37" i="12"/>
  <c r="CG37" i="12"/>
  <c r="CH37" i="12"/>
  <c r="CI37" i="12"/>
  <c r="CJ37" i="12"/>
  <c r="CK37" i="12"/>
  <c r="CL37" i="12"/>
  <c r="CM37" i="12"/>
  <c r="CN37" i="12"/>
  <c r="CO37" i="12"/>
  <c r="CP37" i="12"/>
  <c r="CQ37" i="12"/>
  <c r="CR37" i="12"/>
  <c r="CS37" i="12"/>
  <c r="CT37" i="12"/>
  <c r="CU37" i="12"/>
  <c r="CV37" i="12"/>
  <c r="CW37" i="12"/>
  <c r="CX37" i="12"/>
  <c r="CY37" i="12"/>
  <c r="CZ37" i="12"/>
  <c r="DA37" i="12"/>
  <c r="DB37" i="12"/>
  <c r="DC37" i="12"/>
  <c r="DD37" i="12"/>
  <c r="DE37" i="12"/>
  <c r="DF37" i="12"/>
  <c r="DG37" i="12"/>
  <c r="DH37" i="12"/>
  <c r="DI37" i="12"/>
  <c r="DJ37" i="12"/>
  <c r="DK37" i="12"/>
  <c r="DL37" i="12"/>
  <c r="DM37" i="12"/>
  <c r="DN37" i="12"/>
  <c r="DO37" i="12"/>
  <c r="DP37" i="12"/>
  <c r="DQ37" i="12"/>
  <c r="DR37" i="12"/>
  <c r="DS37" i="12"/>
  <c r="DT37" i="12"/>
  <c r="DU37" i="12"/>
  <c r="DV37" i="12"/>
  <c r="DW37" i="12"/>
  <c r="DX37" i="12"/>
  <c r="DY37" i="12"/>
  <c r="DZ37" i="12"/>
  <c r="EA37" i="12"/>
  <c r="EB37" i="12"/>
  <c r="EC37" i="12"/>
  <c r="ED37" i="12"/>
  <c r="EE37" i="12"/>
  <c r="EF37" i="12"/>
  <c r="EG37" i="12"/>
  <c r="EH37" i="12"/>
  <c r="EI37" i="12"/>
  <c r="EJ37" i="12"/>
  <c r="EK37" i="12"/>
  <c r="EL37" i="12"/>
  <c r="EM37" i="12"/>
  <c r="EN37" i="12"/>
  <c r="EO37" i="12"/>
  <c r="EP37" i="12"/>
  <c r="EQ37" i="12"/>
  <c r="ER37" i="12"/>
  <c r="ES37" i="12"/>
  <c r="ET37" i="12"/>
  <c r="EU37" i="12"/>
  <c r="EV37" i="12"/>
  <c r="EW37" i="12"/>
  <c r="EX37" i="12"/>
  <c r="EY37" i="12"/>
  <c r="EZ37" i="12"/>
  <c r="FA37" i="12"/>
  <c r="FB37" i="12"/>
  <c r="FC37" i="12"/>
  <c r="FD37" i="12"/>
  <c r="FE37" i="12"/>
  <c r="FF37" i="12"/>
  <c r="FG37" i="12"/>
  <c r="FH37" i="12"/>
  <c r="FI37" i="12"/>
  <c r="FJ37" i="12"/>
  <c r="FK37" i="12"/>
  <c r="FL37" i="12"/>
  <c r="FM37" i="12"/>
  <c r="FN37" i="12"/>
  <c r="FO37" i="12"/>
  <c r="FP37" i="12"/>
  <c r="FQ37" i="12"/>
  <c r="FR37" i="12"/>
  <c r="FS37" i="12"/>
  <c r="FT37" i="12"/>
  <c r="FU37" i="12"/>
  <c r="FV37" i="12"/>
  <c r="FW37" i="12"/>
  <c r="FX37" i="12"/>
  <c r="FY37" i="12"/>
  <c r="FZ37" i="12"/>
  <c r="GA37" i="12"/>
  <c r="GB37" i="12"/>
  <c r="GC37" i="12"/>
  <c r="GD37" i="12"/>
  <c r="GE37" i="12"/>
  <c r="GF37" i="12"/>
  <c r="GG37" i="12"/>
  <c r="GH37" i="12"/>
  <c r="GI37" i="12"/>
  <c r="GJ37" i="12"/>
  <c r="GK37" i="12"/>
  <c r="GL37" i="12"/>
  <c r="GM37" i="12"/>
  <c r="GN37" i="12"/>
  <c r="GO37" i="12"/>
  <c r="GP37" i="12"/>
  <c r="GQ37" i="12"/>
  <c r="GR37" i="12"/>
  <c r="GS37" i="12"/>
  <c r="GT37" i="12"/>
  <c r="GU37" i="12"/>
  <c r="GV37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AJ38" i="12"/>
  <c r="AK38" i="12"/>
  <c r="AL38" i="12"/>
  <c r="AM38" i="12"/>
  <c r="AN38" i="12"/>
  <c r="AO38" i="12"/>
  <c r="AP38" i="12"/>
  <c r="AQ38" i="12"/>
  <c r="AR38" i="12"/>
  <c r="AS38" i="12"/>
  <c r="AT38" i="12"/>
  <c r="AU38" i="12"/>
  <c r="AV38" i="12"/>
  <c r="AW38" i="12"/>
  <c r="AX38" i="12"/>
  <c r="AY38" i="12"/>
  <c r="AZ38" i="12"/>
  <c r="BA38" i="12"/>
  <c r="BB38" i="12"/>
  <c r="BC38" i="12"/>
  <c r="BD38" i="12"/>
  <c r="BE38" i="12"/>
  <c r="BF38" i="12"/>
  <c r="BG38" i="12"/>
  <c r="BH38" i="12"/>
  <c r="BI38" i="12"/>
  <c r="BJ38" i="12"/>
  <c r="BK38" i="12"/>
  <c r="BL38" i="12"/>
  <c r="BM38" i="12"/>
  <c r="BN38" i="12"/>
  <c r="BO38" i="12"/>
  <c r="BP38" i="12"/>
  <c r="BQ38" i="12"/>
  <c r="BR38" i="12"/>
  <c r="BS38" i="12"/>
  <c r="BT38" i="12"/>
  <c r="BU38" i="12"/>
  <c r="BV38" i="12"/>
  <c r="BW38" i="12"/>
  <c r="BX38" i="12"/>
  <c r="BY38" i="12"/>
  <c r="BZ38" i="12"/>
  <c r="CA38" i="12"/>
  <c r="CB38" i="12"/>
  <c r="CC38" i="12"/>
  <c r="CD38" i="12"/>
  <c r="CE38" i="12"/>
  <c r="CF38" i="12"/>
  <c r="CG38" i="12"/>
  <c r="CH38" i="12"/>
  <c r="CI38" i="12"/>
  <c r="CJ38" i="12"/>
  <c r="CK38" i="12"/>
  <c r="CL38" i="12"/>
  <c r="CM38" i="12"/>
  <c r="CN38" i="12"/>
  <c r="CO38" i="12"/>
  <c r="CP38" i="12"/>
  <c r="CQ38" i="12"/>
  <c r="CR38" i="12"/>
  <c r="CS38" i="12"/>
  <c r="CT38" i="12"/>
  <c r="CU38" i="12"/>
  <c r="CV38" i="12"/>
  <c r="CW38" i="12"/>
  <c r="CX38" i="12"/>
  <c r="CY38" i="12"/>
  <c r="CZ38" i="12"/>
  <c r="DA38" i="12"/>
  <c r="DB38" i="12"/>
  <c r="DC38" i="12"/>
  <c r="DD38" i="12"/>
  <c r="DE38" i="12"/>
  <c r="DF38" i="12"/>
  <c r="DG38" i="12"/>
  <c r="DH38" i="12"/>
  <c r="DI38" i="12"/>
  <c r="DJ38" i="12"/>
  <c r="DK38" i="12"/>
  <c r="DL38" i="12"/>
  <c r="DM38" i="12"/>
  <c r="DN38" i="12"/>
  <c r="DO38" i="12"/>
  <c r="DP38" i="12"/>
  <c r="DQ38" i="12"/>
  <c r="DR38" i="12"/>
  <c r="DS38" i="12"/>
  <c r="DT38" i="12"/>
  <c r="DU38" i="12"/>
  <c r="DV38" i="12"/>
  <c r="DW38" i="12"/>
  <c r="DX38" i="12"/>
  <c r="DY38" i="12"/>
  <c r="DZ38" i="12"/>
  <c r="EA38" i="12"/>
  <c r="EB38" i="12"/>
  <c r="EC38" i="12"/>
  <c r="ED38" i="12"/>
  <c r="EE38" i="12"/>
  <c r="EF38" i="12"/>
  <c r="EG38" i="12"/>
  <c r="EH38" i="12"/>
  <c r="EI38" i="12"/>
  <c r="EJ38" i="12"/>
  <c r="EK38" i="12"/>
  <c r="EL38" i="12"/>
  <c r="EM38" i="12"/>
  <c r="EN38" i="12"/>
  <c r="EO38" i="12"/>
  <c r="EP38" i="12"/>
  <c r="EQ38" i="12"/>
  <c r="ER38" i="12"/>
  <c r="ES38" i="12"/>
  <c r="ET38" i="12"/>
  <c r="EU38" i="12"/>
  <c r="EV38" i="12"/>
  <c r="EW38" i="12"/>
  <c r="EX38" i="12"/>
  <c r="EY38" i="12"/>
  <c r="EZ38" i="12"/>
  <c r="FA38" i="12"/>
  <c r="FB38" i="12"/>
  <c r="FC38" i="12"/>
  <c r="FD38" i="12"/>
  <c r="FE38" i="12"/>
  <c r="FF38" i="12"/>
  <c r="FG38" i="12"/>
  <c r="FH38" i="12"/>
  <c r="FI38" i="12"/>
  <c r="FJ38" i="12"/>
  <c r="FK38" i="12"/>
  <c r="FL38" i="12"/>
  <c r="FM38" i="12"/>
  <c r="FN38" i="12"/>
  <c r="FO38" i="12"/>
  <c r="FP38" i="12"/>
  <c r="FQ38" i="12"/>
  <c r="FR38" i="12"/>
  <c r="FS38" i="12"/>
  <c r="FT38" i="12"/>
  <c r="FU38" i="12"/>
  <c r="FV38" i="12"/>
  <c r="FW38" i="12"/>
  <c r="FX38" i="12"/>
  <c r="FY38" i="12"/>
  <c r="FZ38" i="12"/>
  <c r="GA38" i="12"/>
  <c r="GB38" i="12"/>
  <c r="GC38" i="12"/>
  <c r="GD38" i="12"/>
  <c r="GE38" i="12"/>
  <c r="GF38" i="12"/>
  <c r="GG38" i="12"/>
  <c r="GH38" i="12"/>
  <c r="GI38" i="12"/>
  <c r="GJ38" i="12"/>
  <c r="GK38" i="12"/>
  <c r="GL38" i="12"/>
  <c r="GM38" i="12"/>
  <c r="GN38" i="12"/>
  <c r="GO38" i="12"/>
  <c r="GP38" i="12"/>
  <c r="GQ38" i="12"/>
  <c r="GR38" i="12"/>
  <c r="GS38" i="12"/>
  <c r="GT38" i="12"/>
  <c r="GU38" i="12"/>
  <c r="GV38" i="12"/>
  <c r="GE40" i="12"/>
  <c r="GF40" i="12"/>
  <c r="GG40" i="12"/>
  <c r="GH40" i="12"/>
  <c r="GI40" i="12"/>
  <c r="GJ40" i="12"/>
  <c r="GK40" i="12"/>
  <c r="GL40" i="12"/>
  <c r="GM40" i="12"/>
  <c r="GN40" i="12"/>
  <c r="GO40" i="12"/>
  <c r="GP40" i="12"/>
  <c r="GQ40" i="12"/>
  <c r="GR40" i="12"/>
  <c r="GS40" i="12"/>
  <c r="GT40" i="12"/>
  <c r="GU40" i="12"/>
  <c r="GV40" i="12"/>
  <c r="H35" i="12"/>
  <c r="I35" i="12"/>
  <c r="J35" i="12"/>
  <c r="K35" i="12"/>
  <c r="L35" i="12"/>
  <c r="M35" i="12"/>
  <c r="N35" i="12"/>
  <c r="H36" i="12"/>
  <c r="I36" i="12"/>
  <c r="J36" i="12"/>
  <c r="K36" i="12"/>
  <c r="L36" i="12"/>
  <c r="M36" i="12"/>
  <c r="N36" i="12"/>
  <c r="H37" i="12"/>
  <c r="I37" i="12"/>
  <c r="J37" i="12"/>
  <c r="K37" i="12"/>
  <c r="L37" i="12"/>
  <c r="M37" i="12"/>
  <c r="N37" i="12"/>
  <c r="H38" i="12"/>
  <c r="I38" i="12"/>
  <c r="J38" i="12"/>
  <c r="K38" i="12"/>
  <c r="L38" i="12"/>
  <c r="M38" i="12"/>
  <c r="N38" i="12"/>
  <c r="G35" i="12"/>
  <c r="G36" i="12"/>
  <c r="G37" i="12"/>
  <c r="G38" i="12"/>
  <c r="F35" i="12"/>
  <c r="F37" i="12"/>
  <c r="F38" i="12"/>
  <c r="F36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AJ34" i="12"/>
  <c r="AK34" i="12"/>
  <c r="AL34" i="12"/>
  <c r="AM34" i="12"/>
  <c r="AN34" i="12"/>
  <c r="AO34" i="12"/>
  <c r="AP34" i="12"/>
  <c r="AQ34" i="12"/>
  <c r="AR34" i="12"/>
  <c r="AS34" i="12"/>
  <c r="AT34" i="12"/>
  <c r="AU34" i="12"/>
  <c r="AV34" i="12"/>
  <c r="AW34" i="12"/>
  <c r="AX34" i="12"/>
  <c r="AY34" i="12"/>
  <c r="AZ34" i="12"/>
  <c r="BA34" i="12"/>
  <c r="BB34" i="12"/>
  <c r="BC34" i="12"/>
  <c r="BD34" i="12"/>
  <c r="BE34" i="12"/>
  <c r="BF34" i="12"/>
  <c r="BG34" i="12"/>
  <c r="BH34" i="12"/>
  <c r="BI34" i="12"/>
  <c r="BJ34" i="12"/>
  <c r="BK34" i="12"/>
  <c r="BL34" i="12"/>
  <c r="BM34" i="12"/>
  <c r="BN34" i="12"/>
  <c r="BO34" i="12"/>
  <c r="BP34" i="12"/>
  <c r="BQ34" i="12"/>
  <c r="BR34" i="12"/>
  <c r="BS34" i="12"/>
  <c r="BT34" i="12"/>
  <c r="BU34" i="12"/>
  <c r="BV34" i="12"/>
  <c r="BW34" i="12"/>
  <c r="BX34" i="12"/>
  <c r="BY34" i="12"/>
  <c r="BZ34" i="12"/>
  <c r="CA34" i="12"/>
  <c r="CB34" i="12"/>
  <c r="CC34" i="12"/>
  <c r="CD34" i="12"/>
  <c r="CE34" i="12"/>
  <c r="CF34" i="12"/>
  <c r="CG34" i="12"/>
  <c r="CH34" i="12"/>
  <c r="CI34" i="12"/>
  <c r="CJ34" i="12"/>
  <c r="CK34" i="12"/>
  <c r="CL34" i="12"/>
  <c r="CM34" i="12"/>
  <c r="CN34" i="12"/>
  <c r="CO34" i="12"/>
  <c r="CP34" i="12"/>
  <c r="CQ34" i="12"/>
  <c r="CR34" i="12"/>
  <c r="CS34" i="12"/>
  <c r="CT34" i="12"/>
  <c r="CU34" i="12"/>
  <c r="CV34" i="12"/>
  <c r="CW34" i="12"/>
  <c r="CX34" i="12"/>
  <c r="CY34" i="12"/>
  <c r="CZ34" i="12"/>
  <c r="DA34" i="12"/>
  <c r="DB34" i="12"/>
  <c r="DC34" i="12"/>
  <c r="DD34" i="12"/>
  <c r="DE34" i="12"/>
  <c r="DF34" i="12"/>
  <c r="DG34" i="12"/>
  <c r="DH34" i="12"/>
  <c r="DI34" i="12"/>
  <c r="DJ34" i="12"/>
  <c r="DK34" i="12"/>
  <c r="DL34" i="12"/>
  <c r="DM34" i="12"/>
  <c r="DN34" i="12"/>
  <c r="DO34" i="12"/>
  <c r="DP34" i="12"/>
  <c r="DQ34" i="12"/>
  <c r="DR34" i="12"/>
  <c r="DS34" i="12"/>
  <c r="DT34" i="12"/>
  <c r="DU34" i="12"/>
  <c r="DV34" i="12"/>
  <c r="DW34" i="12"/>
  <c r="DX34" i="12"/>
  <c r="DY34" i="12"/>
  <c r="DZ34" i="12"/>
  <c r="EA34" i="12"/>
  <c r="EB34" i="12"/>
  <c r="EC34" i="12"/>
  <c r="ED34" i="12"/>
  <c r="EE34" i="12"/>
  <c r="EF34" i="12"/>
  <c r="EG34" i="12"/>
  <c r="EH34" i="12"/>
  <c r="EI34" i="12"/>
  <c r="EJ34" i="12"/>
  <c r="EK34" i="12"/>
  <c r="EL34" i="12"/>
  <c r="EM34" i="12"/>
  <c r="EN34" i="12"/>
  <c r="EO34" i="12"/>
  <c r="EP34" i="12"/>
  <c r="EQ34" i="12"/>
  <c r="ER34" i="12"/>
  <c r="ES34" i="12"/>
  <c r="ET34" i="12"/>
  <c r="EU34" i="12"/>
  <c r="EV34" i="12"/>
  <c r="EW34" i="12"/>
  <c r="EX34" i="12"/>
  <c r="EY34" i="12"/>
  <c r="EZ34" i="12"/>
  <c r="FA34" i="12"/>
  <c r="FB34" i="12"/>
  <c r="FC34" i="12"/>
  <c r="FD34" i="12"/>
  <c r="FE34" i="12"/>
  <c r="FF34" i="12"/>
  <c r="FG34" i="12"/>
  <c r="FH34" i="12"/>
  <c r="FI34" i="12"/>
  <c r="FJ34" i="12"/>
  <c r="FK34" i="12"/>
  <c r="FL34" i="12"/>
  <c r="FM34" i="12"/>
  <c r="FN34" i="12"/>
  <c r="FO34" i="12"/>
  <c r="FP34" i="12"/>
  <c r="FQ34" i="12"/>
  <c r="FR34" i="12"/>
  <c r="FS34" i="12"/>
  <c r="FT34" i="12"/>
  <c r="FU34" i="12"/>
  <c r="FV34" i="12"/>
  <c r="FW34" i="12"/>
  <c r="FX34" i="12"/>
  <c r="FY34" i="12"/>
  <c r="FZ34" i="12"/>
  <c r="F34" i="12"/>
  <c r="EU40" i="12"/>
  <c r="EV40" i="12"/>
  <c r="EW40" i="12"/>
  <c r="EX40" i="12"/>
  <c r="EY40" i="12"/>
  <c r="EZ40" i="12"/>
  <c r="FA40" i="12"/>
  <c r="FB40" i="12"/>
  <c r="FC40" i="12"/>
  <c r="FD40" i="12"/>
  <c r="FE40" i="12"/>
  <c r="FF40" i="12"/>
  <c r="FG40" i="12"/>
  <c r="FH40" i="12"/>
  <c r="FI40" i="12"/>
  <c r="FJ40" i="12"/>
  <c r="FK40" i="12"/>
  <c r="FL40" i="12"/>
  <c r="FM40" i="12"/>
  <c r="FN40" i="12"/>
  <c r="FO40" i="12"/>
  <c r="FP40" i="12"/>
  <c r="FQ40" i="12"/>
  <c r="FR40" i="12"/>
  <c r="FS40" i="12"/>
  <c r="FT40" i="12"/>
  <c r="FU40" i="12"/>
  <c r="FV40" i="12"/>
  <c r="FW40" i="12"/>
  <c r="FX40" i="12"/>
  <c r="FY40" i="12"/>
  <c r="FZ40" i="12"/>
  <c r="GA40" i="12"/>
  <c r="GB40" i="12"/>
  <c r="GC40" i="12"/>
  <c r="GD40" i="12"/>
  <c r="B24" i="12"/>
  <c r="C24" i="12"/>
  <c r="D24" i="12"/>
  <c r="A20" i="19"/>
  <c r="A21" i="19"/>
  <c r="B21" i="19"/>
  <c r="C21" i="19"/>
  <c r="D21" i="19"/>
  <c r="E21" i="19"/>
  <c r="F21" i="19"/>
  <c r="A22" i="19"/>
  <c r="A23" i="19"/>
  <c r="A24" i="19"/>
  <c r="E24" i="19"/>
  <c r="A25" i="19"/>
  <c r="A26" i="19"/>
  <c r="E25" i="18"/>
  <c r="A12" i="19"/>
  <c r="A13" i="19"/>
  <c r="B13" i="19"/>
  <c r="C13" i="19"/>
  <c r="D13" i="19"/>
  <c r="E13" i="19"/>
  <c r="F13" i="19"/>
  <c r="A14" i="19"/>
  <c r="A15" i="19"/>
  <c r="C15" i="19"/>
  <c r="E15" i="19"/>
  <c r="A16" i="19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C2" i="16"/>
  <c r="B2" i="16"/>
  <c r="A2" i="16"/>
  <c r="E6" i="19"/>
  <c r="C18" i="18"/>
  <c r="H32" i="18"/>
  <c r="E20" i="18"/>
  <c r="E18" i="18"/>
  <c r="C6" i="19" s="1"/>
  <c r="C5" i="19"/>
  <c r="E16" i="18"/>
  <c r="C4" i="19" s="1"/>
  <c r="E15" i="18"/>
  <c r="C3" i="19" s="1"/>
  <c r="E14" i="18"/>
  <c r="C2" i="19" s="1"/>
  <c r="C8" i="18"/>
  <c r="F4" i="17"/>
  <c r="G4" i="17" s="1"/>
  <c r="F3" i="17"/>
  <c r="F2" i="17"/>
  <c r="B47" i="10"/>
  <c r="B46" i="10"/>
  <c r="B24" i="10" s="1"/>
  <c r="B45" i="10"/>
  <c r="B44" i="10"/>
  <c r="AH40" i="12"/>
  <c r="AI40" i="12"/>
  <c r="AJ40" i="12"/>
  <c r="AK40" i="12"/>
  <c r="AL40" i="12"/>
  <c r="AM40" i="12"/>
  <c r="AN40" i="12"/>
  <c r="AO40" i="12"/>
  <c r="AP40" i="12"/>
  <c r="AQ40" i="12"/>
  <c r="AR40" i="12"/>
  <c r="AS40" i="12"/>
  <c r="AT40" i="12"/>
  <c r="AU40" i="12"/>
  <c r="AV40" i="12"/>
  <c r="AW40" i="12"/>
  <c r="AX40" i="12"/>
  <c r="AY40" i="12"/>
  <c r="AZ40" i="12"/>
  <c r="BA40" i="12"/>
  <c r="BB40" i="12"/>
  <c r="BC40" i="12"/>
  <c r="BD40" i="12"/>
  <c r="BE40" i="12"/>
  <c r="BF40" i="12"/>
  <c r="BG40" i="12"/>
  <c r="BH40" i="12"/>
  <c r="BI40" i="12"/>
  <c r="BJ40" i="12"/>
  <c r="BK40" i="12"/>
  <c r="BL40" i="12"/>
  <c r="BM40" i="12"/>
  <c r="BN40" i="12"/>
  <c r="BO40" i="12"/>
  <c r="BP40" i="12"/>
  <c r="BQ40" i="12"/>
  <c r="BR40" i="12"/>
  <c r="BS40" i="12"/>
  <c r="BT40" i="12"/>
  <c r="BU40" i="12"/>
  <c r="BV40" i="12"/>
  <c r="BW40" i="12"/>
  <c r="BX40" i="12"/>
  <c r="BY40" i="12"/>
  <c r="BZ40" i="12"/>
  <c r="CA40" i="12"/>
  <c r="CB40" i="12"/>
  <c r="CC40" i="12"/>
  <c r="CD40" i="12"/>
  <c r="CE40" i="12"/>
  <c r="CF40" i="12"/>
  <c r="CG40" i="12"/>
  <c r="CH40" i="12"/>
  <c r="CI40" i="12"/>
  <c r="CJ40" i="12"/>
  <c r="CK40" i="12"/>
  <c r="CL40" i="12"/>
  <c r="CM40" i="12"/>
  <c r="CN40" i="12"/>
  <c r="CO40" i="12"/>
  <c r="CP40" i="12"/>
  <c r="CQ40" i="12"/>
  <c r="CR40" i="12"/>
  <c r="CS40" i="12"/>
  <c r="CT40" i="12"/>
  <c r="CU40" i="12"/>
  <c r="CV40" i="12"/>
  <c r="CW40" i="12"/>
  <c r="CX40" i="12"/>
  <c r="CY40" i="12"/>
  <c r="CZ40" i="12"/>
  <c r="DA40" i="12"/>
  <c r="DB40" i="12"/>
  <c r="DC40" i="12"/>
  <c r="DD40" i="12"/>
  <c r="DE40" i="12"/>
  <c r="DF40" i="12"/>
  <c r="DG40" i="12"/>
  <c r="DH40" i="12"/>
  <c r="DI40" i="12"/>
  <c r="DJ40" i="12"/>
  <c r="DK40" i="12"/>
  <c r="DL40" i="12"/>
  <c r="DM40" i="12"/>
  <c r="DN40" i="12"/>
  <c r="DO40" i="12"/>
  <c r="DP40" i="12"/>
  <c r="DQ40" i="12"/>
  <c r="DR40" i="12"/>
  <c r="DS40" i="12"/>
  <c r="DT40" i="12"/>
  <c r="DU40" i="12"/>
  <c r="DV40" i="12"/>
  <c r="DW40" i="12"/>
  <c r="DX40" i="12"/>
  <c r="DY40" i="12"/>
  <c r="DZ40" i="12"/>
  <c r="EA40" i="12"/>
  <c r="EB40" i="12"/>
  <c r="EC40" i="12"/>
  <c r="ED40" i="12"/>
  <c r="EE40" i="12"/>
  <c r="EF40" i="12"/>
  <c r="EG40" i="12"/>
  <c r="EH40" i="12"/>
  <c r="EI40" i="12"/>
  <c r="EJ40" i="12"/>
  <c r="EK40" i="12"/>
  <c r="EL40" i="12"/>
  <c r="EM40" i="12"/>
  <c r="EN40" i="12"/>
  <c r="EO40" i="12"/>
  <c r="EP40" i="12"/>
  <c r="EQ40" i="12"/>
  <c r="ER40" i="12"/>
  <c r="ES40" i="12"/>
  <c r="E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B18" i="10"/>
  <c r="B23" i="10"/>
  <c r="C17" i="12"/>
  <c r="C15" i="12"/>
  <c r="C14" i="12"/>
  <c r="C13" i="12"/>
  <c r="C12" i="12"/>
  <c r="B17" i="12"/>
  <c r="B15" i="12"/>
  <c r="B14" i="12"/>
  <c r="B13" i="12"/>
  <c r="B12" i="12"/>
  <c r="C7" i="6"/>
  <c r="G3" i="4"/>
  <c r="G4" i="4"/>
  <c r="G5" i="4"/>
  <c r="B6" i="8"/>
  <c r="C4" i="8"/>
  <c r="C3" i="8"/>
  <c r="C2" i="8"/>
  <c r="F5" i="7"/>
  <c r="G5" i="7" s="1"/>
  <c r="F4" i="7"/>
  <c r="G4" i="7" s="1"/>
  <c r="F3" i="7"/>
  <c r="G3" i="7" s="1"/>
  <c r="G2" i="4"/>
  <c r="J8" i="4" l="1"/>
  <c r="I8" i="4"/>
  <c r="K8" i="4" s="1"/>
  <c r="J7" i="4"/>
  <c r="I7" i="4"/>
  <c r="K7" i="4" s="1"/>
  <c r="J6" i="4"/>
  <c r="I6" i="4"/>
  <c r="K6" i="4" s="1"/>
  <c r="H2" i="4"/>
  <c r="H10" i="4"/>
  <c r="G3" i="17"/>
  <c r="C5" i="18"/>
  <c r="G2" i="17"/>
  <c r="C7" i="18"/>
  <c r="C17" i="18" s="1"/>
  <c r="C31" i="18" s="1"/>
  <c r="B26" i="10"/>
  <c r="B25" i="10"/>
  <c r="B29" i="10"/>
  <c r="C6" i="18"/>
  <c r="F40" i="12"/>
  <c r="F2" i="7"/>
  <c r="G2" i="7" s="1"/>
  <c r="G6" i="7"/>
  <c r="A3" i="12"/>
  <c r="A4" i="12"/>
  <c r="A5" i="12"/>
  <c r="A6" i="12"/>
  <c r="E5" i="12"/>
  <c r="B25" i="12"/>
  <c r="B7" i="12" s="1"/>
  <c r="B35" i="12"/>
  <c r="B26" i="12"/>
  <c r="B36" i="12"/>
  <c r="B27" i="12"/>
  <c r="B37" i="12"/>
  <c r="B28" i="12"/>
  <c r="B38" i="12"/>
  <c r="B30" i="12"/>
  <c r="B40" i="12"/>
  <c r="C25" i="12"/>
  <c r="C7" i="12" s="1"/>
  <c r="C35" i="12"/>
  <c r="C26" i="12"/>
  <c r="C36" i="12"/>
  <c r="C27" i="12"/>
  <c r="C37" i="12"/>
  <c r="C28" i="12"/>
  <c r="C38" i="12"/>
  <c r="C30" i="12"/>
  <c r="C40" i="12"/>
  <c r="D7" i="18"/>
  <c r="F7" i="18"/>
  <c r="E24" i="18"/>
  <c r="C14" i="19" s="1"/>
  <c r="E30" i="18"/>
  <c r="C22" i="19" s="1"/>
  <c r="E31" i="18"/>
  <c r="C23" i="19" s="1"/>
  <c r="E32" i="18"/>
  <c r="C24" i="19" s="1"/>
  <c r="C15" i="18"/>
  <c r="C25" i="18" s="1"/>
  <c r="F5" i="18"/>
  <c r="D5" i="18"/>
  <c r="F8" i="18"/>
  <c r="D8" i="18"/>
  <c r="C32" i="18"/>
  <c r="F18" i="18"/>
  <c r="D18" i="18"/>
  <c r="B6" i="19" s="1"/>
  <c r="B21" i="10"/>
  <c r="B19" i="10"/>
  <c r="H11" i="4"/>
  <c r="B20" i="10"/>
  <c r="B22" i="10"/>
  <c r="H3" i="4"/>
  <c r="H4" i="4"/>
  <c r="J4" i="4" s="1"/>
  <c r="H5" i="4"/>
  <c r="J5" i="4" s="1"/>
  <c r="I2" i="4"/>
  <c r="D6" i="7"/>
  <c r="I3" i="7"/>
  <c r="J3" i="7" s="1"/>
  <c r="I4" i="7"/>
  <c r="J4" i="7" s="1"/>
  <c r="I5" i="7"/>
  <c r="J5" i="7" s="1"/>
  <c r="K2" i="4" l="1"/>
  <c r="J2" i="4"/>
  <c r="H14" i="4"/>
  <c r="J3" i="4"/>
  <c r="H16" i="4"/>
  <c r="I15" i="4"/>
  <c r="C4" i="12"/>
  <c r="C5" i="12"/>
  <c r="C6" i="12"/>
  <c r="C3" i="12"/>
  <c r="B4" i="12"/>
  <c r="B5" i="12"/>
  <c r="B6" i="12"/>
  <c r="B3" i="12"/>
  <c r="C16" i="18"/>
  <c r="F6" i="18"/>
  <c r="D6" i="18"/>
  <c r="D32" i="18"/>
  <c r="B24" i="19" s="1"/>
  <c r="F32" i="18"/>
  <c r="G18" i="18"/>
  <c r="J18" i="18"/>
  <c r="G8" i="18"/>
  <c r="E28" i="12" s="1"/>
  <c r="G7" i="18"/>
  <c r="F17" i="18"/>
  <c r="D17" i="18"/>
  <c r="B5" i="19" s="1"/>
  <c r="G6" i="18"/>
  <c r="E26" i="12" s="1"/>
  <c r="C30" i="18"/>
  <c r="F16" i="18"/>
  <c r="D16" i="18"/>
  <c r="B4" i="19" s="1"/>
  <c r="G5" i="18"/>
  <c r="E27" i="12" s="1"/>
  <c r="F15" i="18"/>
  <c r="F25" i="18" s="1"/>
  <c r="D15" i="18"/>
  <c r="I5" i="4"/>
  <c r="K5" i="4" s="1"/>
  <c r="I4" i="4"/>
  <c r="K4" i="4" s="1"/>
  <c r="I3" i="4"/>
  <c r="I14" i="4" s="1"/>
  <c r="L5" i="7"/>
  <c r="M5" i="7" s="1"/>
  <c r="K5" i="7"/>
  <c r="N5" i="7" s="1"/>
  <c r="L4" i="7"/>
  <c r="K4" i="7"/>
  <c r="M3" i="7"/>
  <c r="K3" i="7"/>
  <c r="N3" i="7" s="1"/>
  <c r="F6" i="7"/>
  <c r="I2" i="7"/>
  <c r="C4" i="18"/>
  <c r="C14" i="18" s="1"/>
  <c r="K3" i="4" l="1"/>
  <c r="I16" i="4"/>
  <c r="E15" i="12"/>
  <c r="D6" i="19"/>
  <c r="C9" i="16"/>
  <c r="L2" i="7"/>
  <c r="J2" i="7"/>
  <c r="B3" i="19"/>
  <c r="D25" i="18"/>
  <c r="B15" i="19" s="1"/>
  <c r="F4" i="18"/>
  <c r="D4" i="18"/>
  <c r="D30" i="18"/>
  <c r="B22" i="19" s="1"/>
  <c r="D31" i="18"/>
  <c r="B23" i="19" s="1"/>
  <c r="C9" i="18"/>
  <c r="G15" i="18"/>
  <c r="J15" i="18"/>
  <c r="F30" i="18"/>
  <c r="G16" i="18"/>
  <c r="J16" i="18"/>
  <c r="F31" i="18"/>
  <c r="G17" i="18"/>
  <c r="J17" i="18"/>
  <c r="G32" i="18"/>
  <c r="D24" i="19" s="1"/>
  <c r="I18" i="18"/>
  <c r="I6" i="7"/>
  <c r="H6" i="7" s="1"/>
  <c r="I9" i="18" s="1"/>
  <c r="M2" i="7"/>
  <c r="K2" i="7"/>
  <c r="N2" i="7" s="1"/>
  <c r="K6" i="7"/>
  <c r="L6" i="7"/>
  <c r="M4" i="7"/>
  <c r="N4" i="7" s="1"/>
  <c r="D5" i="19" l="1"/>
  <c r="D4" i="19"/>
  <c r="E13" i="12"/>
  <c r="G25" i="18"/>
  <c r="D15" i="19" s="1"/>
  <c r="C19" i="18"/>
  <c r="C7" i="16"/>
  <c r="J6" i="7"/>
  <c r="N6" i="7"/>
  <c r="E38" i="12"/>
  <c r="G4" i="18"/>
  <c r="E25" i="12" s="1"/>
  <c r="C24" i="18"/>
  <c r="F14" i="18"/>
  <c r="D14" i="18"/>
  <c r="H19" i="18"/>
  <c r="H33" i="18" s="1"/>
  <c r="E25" i="19" s="1"/>
  <c r="I32" i="18"/>
  <c r="F24" i="19" s="1"/>
  <c r="F6" i="19"/>
  <c r="G31" i="18"/>
  <c r="D23" i="19" s="1"/>
  <c r="D19" i="18"/>
  <c r="B7" i="19" s="1"/>
  <c r="E9" i="18"/>
  <c r="E19" i="18" s="1"/>
  <c r="C7" i="19" s="1"/>
  <c r="D9" i="18"/>
  <c r="H17" i="18"/>
  <c r="E5" i="19" s="1"/>
  <c r="G30" i="18"/>
  <c r="D22" i="19" s="1"/>
  <c r="H16" i="18"/>
  <c r="H15" i="18"/>
  <c r="M6" i="7"/>
  <c r="J14" i="18" l="1"/>
  <c r="G14" i="18"/>
  <c r="E6" i="12"/>
  <c r="E4" i="19"/>
  <c r="H30" i="18"/>
  <c r="E22" i="19" s="1"/>
  <c r="F24" i="18"/>
  <c r="B2" i="19"/>
  <c r="D24" i="18"/>
  <c r="B14" i="19" s="1"/>
  <c r="F26" i="18"/>
  <c r="E12" i="12"/>
  <c r="I15" i="18"/>
  <c r="E3" i="19"/>
  <c r="F19" i="18"/>
  <c r="G19" i="18" s="1"/>
  <c r="E16" i="12" s="1"/>
  <c r="E7" i="19"/>
  <c r="C33" i="18"/>
  <c r="D33" i="18"/>
  <c r="B25" i="19" s="1"/>
  <c r="F9" i="18"/>
  <c r="J19" i="18" s="1"/>
  <c r="I16" i="18"/>
  <c r="H31" i="18"/>
  <c r="E23" i="19" s="1"/>
  <c r="E26" i="19" s="1"/>
  <c r="I17" i="18"/>
  <c r="E14" i="12" l="1"/>
  <c r="C8" i="16" s="1"/>
  <c r="D7" i="19"/>
  <c r="E35" i="12"/>
  <c r="E37" i="12"/>
  <c r="I25" i="18"/>
  <c r="F15" i="19" s="1"/>
  <c r="D2" i="19"/>
  <c r="G24" i="18"/>
  <c r="H14" i="18"/>
  <c r="H24" i="18" s="1"/>
  <c r="E14" i="19" s="1"/>
  <c r="E16" i="19" s="1"/>
  <c r="F3" i="19"/>
  <c r="D3" i="19"/>
  <c r="D8" i="19" s="1"/>
  <c r="I31" i="18"/>
  <c r="F23" i="19" s="1"/>
  <c r="F5" i="19"/>
  <c r="I30" i="18"/>
  <c r="F22" i="19" s="1"/>
  <c r="F4" i="19"/>
  <c r="I19" i="18"/>
  <c r="F7" i="19" s="1"/>
  <c r="E33" i="18"/>
  <c r="C25" i="19" s="1"/>
  <c r="G9" i="18"/>
  <c r="F10" i="18"/>
  <c r="H34" i="18"/>
  <c r="G10" i="18" l="1"/>
  <c r="E29" i="12"/>
  <c r="E17" i="12"/>
  <c r="C6" i="16"/>
  <c r="E36" i="12"/>
  <c r="E4" i="12"/>
  <c r="G26" i="18"/>
  <c r="D14" i="19"/>
  <c r="D16" i="19" s="1"/>
  <c r="E2" i="19"/>
  <c r="E8" i="19" s="1"/>
  <c r="H26" i="18"/>
  <c r="H20" i="18"/>
  <c r="I14" i="18"/>
  <c r="F20" i="18"/>
  <c r="J20" i="18" s="1"/>
  <c r="F33" i="18"/>
  <c r="F34" i="18" s="1"/>
  <c r="C10" i="16" l="1"/>
  <c r="E39" i="12"/>
  <c r="E30" i="12"/>
  <c r="C11" i="16" s="1"/>
  <c r="E40" i="12"/>
  <c r="F2" i="19"/>
  <c r="F8" i="19" s="1"/>
  <c r="I24" i="18"/>
  <c r="G33" i="18"/>
  <c r="G20" i="18"/>
  <c r="K18" i="18" l="1"/>
  <c r="K17" i="18"/>
  <c r="K16" i="18"/>
  <c r="K15" i="18"/>
  <c r="K19" i="18"/>
  <c r="K14" i="18"/>
  <c r="K20" i="18" s="1"/>
  <c r="E3" i="12"/>
  <c r="G34" i="18"/>
  <c r="D25" i="19"/>
  <c r="D26" i="19" s="1"/>
  <c r="I26" i="18"/>
  <c r="F14" i="19"/>
  <c r="F16" i="19" s="1"/>
  <c r="I33" i="18"/>
  <c r="I20" i="18"/>
  <c r="I34" i="18" l="1"/>
  <c r="F25" i="19"/>
  <c r="F26" i="19" s="1"/>
</calcChain>
</file>

<file path=xl/sharedStrings.xml><?xml version="1.0" encoding="utf-8"?>
<sst xmlns="http://schemas.openxmlformats.org/spreadsheetml/2006/main" count="448" uniqueCount="231">
  <si>
    <t>Costo Total</t>
  </si>
  <si>
    <t>Item</t>
  </si>
  <si>
    <t>Costo 
Unitario USD</t>
  </si>
  <si>
    <t>Costo 
Unitario COP</t>
  </si>
  <si>
    <t>Cantidad</t>
  </si>
  <si>
    <t>Costo 
Total USD</t>
  </si>
  <si>
    <t>Costo
Total COP</t>
  </si>
  <si>
    <t>Opción</t>
  </si>
  <si>
    <t>Margen</t>
  </si>
  <si>
    <t>Descuento</t>
  </si>
  <si>
    <t>Implementación</t>
  </si>
  <si>
    <t xml:space="preserve">Cloud Implementación </t>
  </si>
  <si>
    <t>Opcion 2</t>
  </si>
  <si>
    <t>Operación</t>
  </si>
  <si>
    <t>Cloud Operación</t>
  </si>
  <si>
    <t>Opcion 1</t>
  </si>
  <si>
    <t>Houndoc SaaS</t>
  </si>
  <si>
    <t>1-10</t>
  </si>
  <si>
    <t>Otros Vendors</t>
  </si>
  <si>
    <t>Total</t>
  </si>
  <si>
    <t>Valor de venta Total</t>
  </si>
  <si>
    <t>Valor 
Unitario USD</t>
  </si>
  <si>
    <t>Valor 
Unitario COP</t>
  </si>
  <si>
    <t>Valor 
Total USD</t>
  </si>
  <si>
    <t>Valor
Total COP</t>
  </si>
  <si>
    <t>IVA</t>
  </si>
  <si>
    <t>Valor Total
con IVA</t>
  </si>
  <si>
    <t>Gross Margin
Sin IVA</t>
  </si>
  <si>
    <t>Revenue Allocation</t>
  </si>
  <si>
    <t>CAPEX</t>
  </si>
  <si>
    <t>Valor
Unitario USD</t>
  </si>
  <si>
    <t>Valor
Unitario COP</t>
  </si>
  <si>
    <t>Valor
Total USD</t>
  </si>
  <si>
    <t>OPEX</t>
  </si>
  <si>
    <t xml:space="preserve">
Valor
Total COP</t>
  </si>
  <si>
    <t>Valor 
Unitario</t>
  </si>
  <si>
    <t>Valor
Total</t>
  </si>
  <si>
    <t>Cloud Implementación</t>
  </si>
  <si>
    <t>Actividad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</si>
  <si>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</si>
  <si>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</si>
  <si>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</si>
  <si>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</si>
  <si>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</si>
  <si>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</si>
  <si>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</si>
  <si>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</si>
  <si>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</si>
  <si>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</si>
  <si>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</si>
  <si>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</si>
  <si>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</si>
  <si>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</si>
  <si>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Selección del servicio candidato</t>
  </si>
  <si>
    <t>Análisis técnico del servicio</t>
  </si>
  <si>
    <t>Definición del enfoque de modernización y migración</t>
  </si>
  <si>
    <t>Modernización del servicio</t>
  </si>
  <si>
    <t>Preparación para la migración a ROSA</t>
  </si>
  <si>
    <t>Migración del servicio a ROSA</t>
  </si>
  <si>
    <t>Preparación del plan de pruebas</t>
  </si>
  <si>
    <t>Ejecución de pruebas del servicio</t>
  </si>
  <si>
    <t>Consolidación de resultados del PoC</t>
  </si>
  <si>
    <t>Cierre de la PoC</t>
  </si>
  <si>
    <t>Cloud</t>
  </si>
  <si>
    <t>Otros vendors</t>
  </si>
  <si>
    <t>1-Implementacion</t>
  </si>
  <si>
    <t>2-Soporte</t>
  </si>
  <si>
    <t>3-Houndoc</t>
  </si>
  <si>
    <t>4-Cloud</t>
  </si>
  <si>
    <t>5-Otros vendors</t>
  </si>
  <si>
    <t>S1</t>
  </si>
  <si>
    <t>S2</t>
  </si>
  <si>
    <t>S3</t>
  </si>
  <si>
    <t>S4</t>
  </si>
  <si>
    <t>Tipo</t>
  </si>
  <si>
    <t>Titulo</t>
  </si>
  <si>
    <t>Descripción</t>
  </si>
  <si>
    <t xml:space="preserve">Tipo de Equipo </t>
  </si>
  <si>
    <t>N° Equipos</t>
  </si>
  <si>
    <t>N°  Meses</t>
  </si>
  <si>
    <t>Total Equipo*Meses</t>
  </si>
  <si>
    <t>Costo USD</t>
  </si>
  <si>
    <t>Costo COP</t>
  </si>
  <si>
    <t>Valor Venta USD</t>
  </si>
  <si>
    <t>Valor Venta COP</t>
  </si>
  <si>
    <t>Adaptación del servicio desde Fuse para su ejecución sobre OpenShift Application Foundations.</t>
  </si>
  <si>
    <t xml:space="preserve">Software </t>
  </si>
  <si>
    <t>Validación de Arquitectura Base para ROSA HCP</t>
  </si>
  <si>
    <t>Validación del diseño objetivo considerando:
Subnets privadas para worker nodes
Configuración de VPC existente o dedicada
Requisitos de IAM
Enfoque de conectividad (VPN/Direct Connect si aplica)
Lineamientos de seguridad y cifrado</t>
  </si>
  <si>
    <t>Habilitación de ROSA HCP y Prerrequisitos Técnicos</t>
  </si>
  <si>
    <t>Validación de cuotas AWS (EC2, ELB, EBS, VPC)
Validación de roles requeridos para HCP
Configuración ROSA CLI
Habilitación del servicio en la cuenta
Validación de permisos y políticas</t>
  </si>
  <si>
    <t>Creación del Cluster ROSA HCP</t>
  </si>
  <si>
    <t>Creación del cluster HCP
Validación del estado Ready
Configuración básica de acceso (oc login)
Validación de worker nodes
Verificación de networking y salida a dependencias</t>
  </si>
  <si>
    <t>Configuración Base del Entorno OpenShift</t>
  </si>
  <si>
    <t>Creación de namespace del servicio
Configuración de secrets
Configuración de service accounts
Configuración de certificados si aplica
Validación de acceso a dependencias</t>
  </si>
  <si>
    <t>Despliegue del Servicio Migrado en ROSA HCP</t>
  </si>
  <si>
    <t>Deploy del artefacto (Docker o manifiestos)
Configuración de variables de entorno
Ajustes de recursos (CPU/memoria)
Configuración de Service / Route / Ingress
Validación técnica post-deploy</t>
  </si>
  <si>
    <t>Acompañamiento Técnico a Pruebas</t>
  </si>
  <si>
    <t>Soporte durante ejecución del set de pruebas del cliente
Monitoreo de métricas E2E (p85 ≤ 800 ms, promedio ≤ 400 ms)
Validación de estabilidad del cluster
Ajustes menores de configuración si se requieren</t>
  </si>
  <si>
    <t>Consolidación y Cierre</t>
  </si>
  <si>
    <t>Recopilación de métricas
Validación contra criterios de éxito
Documento de conclusiones técnicas
Recomendaciones para migración a escala</t>
  </si>
  <si>
    <t>Tiempo Implementación 
Un equipo</t>
  </si>
  <si>
    <t>Horas Implementación</t>
  </si>
  <si>
    <t>Horas Operación x Mes</t>
  </si>
  <si>
    <t>Total SP</t>
  </si>
  <si>
    <t>Opciones</t>
  </si>
  <si>
    <t>Detalle</t>
  </si>
  <si>
    <t>Precio Mes</t>
  </si>
  <si>
    <t>Beneficio</t>
  </si>
  <si>
    <t>Costo Mes</t>
  </si>
  <si>
    <t>Margen
sugerido</t>
  </si>
  <si>
    <t xml:space="preserve">Link Calculadora </t>
  </si>
  <si>
    <t>Link Diagrama</t>
  </si>
  <si>
    <t>https://calculator.aws/#/estimate?id=dd8d9356c8f2b076659df2b6615ddc06a02b3d2d</t>
  </si>
  <si>
    <t>Opcion 3</t>
  </si>
  <si>
    <t>Proveedor</t>
  </si>
  <si>
    <t>Tipo de Vendor</t>
  </si>
  <si>
    <t>Servicio</t>
  </si>
  <si>
    <t>Costo unitario USD</t>
  </si>
  <si>
    <t>Costo Total
USD</t>
  </si>
  <si>
    <t>Costo Total COP</t>
  </si>
  <si>
    <t>Valor Total
sin IVA USD</t>
  </si>
  <si>
    <t xml:space="preserve">Valor Total sin IVA COP </t>
  </si>
  <si>
    <t>Gross Margin</t>
  </si>
  <si>
    <t>Valor Total
con IVA USD</t>
  </si>
  <si>
    <t>Valor Total
con IVA COP</t>
  </si>
  <si>
    <t>-</t>
  </si>
  <si>
    <t>Precio mensual</t>
  </si>
  <si>
    <t>0</t>
  </si>
  <si>
    <t>Houndoc - Plataforma Core en la Nube - SAAS. (1-10 Usuarios nombrados)</t>
  </si>
  <si>
    <t>11-50</t>
  </si>
  <si>
    <t>Houndoc - Plataforma Core en la Nube - SAAS. (11-50 Usuarios nombrados)</t>
  </si>
  <si>
    <t>51-100</t>
  </si>
  <si>
    <t>Houndoc - Plataforma Core en la Nube - SAAS. (51-100 Usuarios nombrados)</t>
  </si>
  <si>
    <t>100-500</t>
  </si>
  <si>
    <t>Houndoc - Plataforma Core en la Nube - SAAS. (100-500 Usuarios nombrados)</t>
  </si>
  <si>
    <t>501-1000</t>
  </si>
  <si>
    <t>Houndoc - Plataforma Core en la Nube - SAAS. (501 - 1000 Usuarios Nombrados)</t>
  </si>
  <si>
    <t>MAP Phase</t>
  </si>
  <si>
    <t>Aplica</t>
  </si>
  <si>
    <t>Valor Sugerido</t>
  </si>
  <si>
    <t>Valor Real</t>
  </si>
  <si>
    <t>Assess</t>
  </si>
  <si>
    <t>No</t>
  </si>
  <si>
    <t>Mobilize</t>
  </si>
  <si>
    <t>Migrate</t>
  </si>
  <si>
    <t>ARR</t>
  </si>
  <si>
    <t>Calculator</t>
  </si>
  <si>
    <t>Nombre</t>
  </si>
  <si>
    <t>Link</t>
  </si>
  <si>
    <t>Tipo Esfuerzo</t>
  </si>
  <si>
    <t>Tipo Equipo (4 P)</t>
  </si>
  <si>
    <t>Costo Mes USD</t>
  </si>
  <si>
    <t>Costo Mes COP</t>
  </si>
  <si>
    <t>Costo Hora USD</t>
  </si>
  <si>
    <t>Costo Hora COP</t>
  </si>
  <si>
    <t>Analítica</t>
  </si>
  <si>
    <t>Soporte</t>
  </si>
  <si>
    <t>CS (Cloud Services)</t>
  </si>
  <si>
    <t>Semillero</t>
  </si>
  <si>
    <t>SW (Software)</t>
  </si>
  <si>
    <t>Valor TRM AWS</t>
  </si>
  <si>
    <t>Valor TRM PS Belnd</t>
  </si>
  <si>
    <t>ID Hubspot</t>
  </si>
  <si>
    <t>A4132</t>
  </si>
  <si>
    <t>Cliente</t>
  </si>
  <si>
    <t>DIAN</t>
  </si>
  <si>
    <t>Proyecto</t>
  </si>
  <si>
    <t>Portal</t>
  </si>
  <si>
    <t>Fecha Inicio</t>
  </si>
  <si>
    <t>2025_08_Ago</t>
  </si>
  <si>
    <t>Tiempo Proyecto</t>
  </si>
  <si>
    <t>Tiempo Implementación</t>
  </si>
  <si>
    <t>Mes Inicio Implementacion</t>
  </si>
  <si>
    <t>Tiempo Operación</t>
  </si>
  <si>
    <t>Mes Inicio Operacion</t>
  </si>
  <si>
    <t>Tiempo SW (Software)</t>
  </si>
  <si>
    <t>Mes Inicio SW</t>
  </si>
  <si>
    <t>Tiempo CS (Cloud Services)</t>
  </si>
  <si>
    <t>Mes Inicio CS</t>
  </si>
  <si>
    <t>Tiempo Cloud Implementación</t>
  </si>
  <si>
    <t>Mes Inicio OV</t>
  </si>
  <si>
    <t>Tiempo Otros Vendors</t>
  </si>
  <si>
    <t>Valor de Implementación</t>
  </si>
  <si>
    <t>otros vendors (hardware de un solo pago o servicios profesionales)</t>
  </si>
  <si>
    <t>Valor de Operación</t>
  </si>
  <si>
    <t>Otros vendors (Personal que se tenga que contratar para llevar a cabo actividades post implementación)</t>
  </si>
  <si>
    <t>Otros</t>
  </si>
  <si>
    <t>Valor de Cloud</t>
  </si>
  <si>
    <t>Houndoc (Marketplace)</t>
  </si>
  <si>
    <t>Compras Marketplace</t>
  </si>
  <si>
    <t>Valor Licencia de Houndoc (Directo)</t>
  </si>
  <si>
    <t>Otros vendors (Software Licenciado con cobro mensual)</t>
  </si>
  <si>
    <t>Porcentaje</t>
  </si>
  <si>
    <t>Total Porcentaje</t>
  </si>
  <si>
    <t>Porcentaje Implementación</t>
  </si>
  <si>
    <t>Porcentaje Operación</t>
  </si>
  <si>
    <t>Porcentaje CS (Cloud Services)</t>
  </si>
  <si>
    <t>Porcentaje SW (Software)</t>
  </si>
  <si>
    <t>Porcentaje Other Vendors</t>
  </si>
  <si>
    <t>2025_09_Sep</t>
  </si>
  <si>
    <t>2025_10_Oct</t>
  </si>
  <si>
    <t>2025_11_Nov</t>
  </si>
  <si>
    <t>2025_12_Dic</t>
  </si>
  <si>
    <t>2026_01_Ene</t>
  </si>
  <si>
    <t>2026_02_Feb</t>
  </si>
  <si>
    <t>2026_03_Mar</t>
  </si>
  <si>
    <t>2026_04_Abr</t>
  </si>
  <si>
    <t>2026_05_May</t>
  </si>
  <si>
    <t>2026_06_Jun</t>
  </si>
  <si>
    <t>2026_07_Jul</t>
  </si>
  <si>
    <t>2026_08_Ago</t>
  </si>
  <si>
    <t>2026_09_Sep</t>
  </si>
  <si>
    <t>Other Vendors</t>
  </si>
  <si>
    <t>Costos</t>
  </si>
  <si>
    <t>Total Costo</t>
  </si>
  <si>
    <t>Costo Implementación</t>
  </si>
  <si>
    <t>Costo Operación</t>
  </si>
  <si>
    <t>Costo CS (Cloud Services)</t>
  </si>
  <si>
    <t>Costo SW (Software)</t>
  </si>
  <si>
    <t>Gross</t>
  </si>
  <si>
    <t>Total Gross</t>
  </si>
  <si>
    <t>Gross Implementación</t>
  </si>
  <si>
    <t>Gross Operación</t>
  </si>
  <si>
    <t>Gross CS (Cloud Services)</t>
  </si>
  <si>
    <t>Gross SW (Software)</t>
  </si>
  <si>
    <t>Gross Other Vendors</t>
  </si>
  <si>
    <t>Gross Total</t>
  </si>
  <si>
    <t>Resumen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</si>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</sst>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$&quot;#,##0.00_);\(&quot;$&quot;#,##0.00\)"/>
    <numFmt numFmtId="164" formatCode="[$ $]#,##0"/>
    <numFmt numFmtId="165" formatCode="_-&quot;$&quot;\ * #,##0_-;\-&quot;$&quot;\ * #,##0_-;_-&quot;$&quot;\ * &quot;-&quot;??_-;_-@"/>
    <numFmt numFmtId="166" formatCode="[$$]#,##0"/>
    <numFmt numFmtId="167" formatCode="[$$]#,##0.00"/>
    <numFmt numFmtId="168" formatCode="&quot;$&quot;#,##0.00"/>
    <numFmt numFmtId="169" formatCode="_([$$-409]* #,##0.00_);_([$$-409]* \(#,##0.00\);_([$$-409]* &quot;-&quot;??_);_(@_)"/>
  </numFmts>
  <fonts count="20">
    <font>
      <sz val="10"/>
      <color rgb="FF000000"/>
      <name val="Arial"/>
      <scheme val="minor"/>
    </font>
    <font>
      <b/>
      <sz val="10"/>
      <color theme="1"/>
      <name val="Roboto"/>
    </font>
    <font>
      <sz val="10"/>
      <color theme="1"/>
      <name val="Roboto"/>
    </font>
    <font>
      <sz val="10"/>
      <color theme="1"/>
      <name val="Arial"/>
    </font>
    <font>
      <sz val="9"/>
      <color rgb="FF000000"/>
      <name val="Roboto"/>
    </font>
    <font>
      <b/>
      <sz val="14"/>
      <color rgb="FFFFFFFF"/>
      <name val="Roboto"/>
    </font>
    <font>
      <sz val="14"/>
      <color theme="1"/>
      <name val="Roboto"/>
    </font>
    <font>
      <b/>
      <sz val="10"/>
      <color rgb="FF222222"/>
      <name val="Roboto"/>
    </font>
    <font>
      <sz val="10"/>
      <color rgb="FF222222"/>
      <name val="Roboto"/>
    </font>
    <font>
      <sz val="10"/>
      <color rgb="FF16191F"/>
      <name val="Roboto"/>
    </font>
    <font>
      <u/>
      <sz val="10"/>
      <color rgb="FF0000FF"/>
      <name val="Roboto"/>
    </font>
    <font>
      <sz val="11"/>
      <color theme="1"/>
      <name val="Roboto"/>
    </font>
    <font>
      <b/>
      <sz val="11"/>
      <color theme="1"/>
      <name val="Roboto"/>
    </font>
    <font>
      <b/>
      <sz val="11"/>
      <color rgb="FF222222"/>
      <name val="Roboto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b/>
      <sz val="14"/>
      <color theme="0"/>
      <name val="Roboto"/>
    </font>
    <font>
      <b/>
      <sz val="10"/>
      <color rgb="FF000000"/>
      <name val="Roboto"/>
    </font>
    <font>
      <u/>
      <sz val="10"/>
      <color rgb="FF000000"/>
      <name val="Arial"/>
      <scheme val="minor"/>
    </font>
    <font>
      <u/>
      <sz val="10"/>
      <color theme="10"/>
      <name val="Arial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222D52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rgb="FF3C78D8"/>
      </left>
      <right style="thin">
        <color rgb="FF3C78D8"/>
      </right>
      <top style="thin">
        <color rgb="FF3C78D8"/>
      </top>
      <bottom style="thin">
        <color rgb="FF3C78D8"/>
      </bottom>
      <diagonal/>
    </border>
    <border>
      <left style="thin">
        <color rgb="FF3C78D8"/>
      </left>
      <right/>
      <top style="thin">
        <color rgb="FF3C78D8"/>
      </top>
      <bottom style="thin">
        <color rgb="FF3C78D8"/>
      </bottom>
      <diagonal/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  <diagonal/>
    </border>
    <border>
      <left style="thin">
        <color rgb="FF3C78D8"/>
      </left>
      <right/>
      <top/>
      <bottom style="thin">
        <color rgb="FF3C78D8"/>
      </bottom>
      <diagonal/>
    </border>
    <border>
      <left style="thin">
        <color rgb="FF3C78D8"/>
      </left>
      <right style="thin">
        <color rgb="FF3C78D8"/>
      </right>
      <top style="thin">
        <color rgb="FF3C78D8"/>
      </top>
      <bottom/>
      <diagonal/>
    </border>
    <border>
      <left style="thin">
        <color rgb="FF4285F4"/>
      </left>
      <right/>
      <top style="thin">
        <color rgb="FF4285F4"/>
      </top>
      <bottom style="thin">
        <color rgb="FF4285F4"/>
      </bottom>
      <diagonal/>
    </border>
    <border>
      <left/>
      <right/>
      <top style="thin">
        <color rgb="FF4285F4"/>
      </top>
      <bottom style="thin">
        <color rgb="FF4285F4"/>
      </bottom>
      <diagonal/>
    </border>
    <border>
      <left/>
      <right style="thin">
        <color rgb="FF4285F4"/>
      </right>
      <top style="thin">
        <color rgb="FF4285F4"/>
      </top>
      <bottom style="thin">
        <color rgb="FF4285F4"/>
      </bottom>
      <diagonal/>
    </border>
    <border>
      <left/>
      <right/>
      <top style="thin">
        <color rgb="FF3C78D8"/>
      </top>
      <bottom style="thin">
        <color rgb="FF3C78D8"/>
      </bottom>
      <diagonal/>
    </border>
    <border>
      <left style="thin">
        <color rgb="FF4285F4"/>
      </left>
      <right style="thin">
        <color rgb="FF4285F4"/>
      </right>
      <top style="thin">
        <color rgb="FF4285F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9" tint="0.59999389629810485"/>
      </left>
      <right style="thin">
        <color theme="9" tint="0.59999389629810485"/>
      </right>
      <top style="thin">
        <color theme="9" tint="0.59999389629810485"/>
      </top>
      <bottom style="thin">
        <color theme="9" tint="0.5999938962981048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3C78D8"/>
      </right>
      <top style="thin">
        <color rgb="FF3C78D8"/>
      </top>
      <bottom style="thin">
        <color rgb="FF3C78D8"/>
      </bottom>
      <diagonal/>
    </border>
    <border>
      <left style="thin">
        <color rgb="FF3C78D8"/>
      </left>
      <right style="thin">
        <color rgb="FF3C78D8"/>
      </right>
      <top style="thin">
        <color rgb="FF000000"/>
      </top>
      <bottom style="thin">
        <color rgb="FF000000"/>
      </bottom>
      <diagonal/>
    </border>
    <border>
      <left style="thin">
        <color rgb="FF3C78D8"/>
      </left>
      <right/>
      <top style="thin">
        <color rgb="FF3C78D8"/>
      </top>
      <bottom/>
      <diagonal/>
    </border>
    <border>
      <left/>
      <right style="thin">
        <color rgb="FF3C78D8"/>
      </right>
      <top style="thin">
        <color rgb="FF3C78D8"/>
      </top>
      <bottom/>
      <diagonal/>
    </border>
    <border>
      <left style="thin">
        <color rgb="FF3C78D8"/>
      </left>
      <right style="thin">
        <color rgb="FF3C78D8"/>
      </right>
      <top style="thin">
        <color rgb="FF3C78D8"/>
      </top>
      <bottom style="thin">
        <color rgb="FF000000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22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9" fontId="1" fillId="2" borderId="0" xfId="0" applyNumberFormat="1" applyFont="1" applyFill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164" fontId="2" fillId="2" borderId="1" xfId="0" applyNumberFormat="1" applyFont="1" applyFill="1" applyBorder="1" applyAlignment="1">
      <alignment horizontal="right" wrapText="1"/>
    </xf>
    <xf numFmtId="3" fontId="2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/>
    <xf numFmtId="164" fontId="2" fillId="2" borderId="2" xfId="0" applyNumberFormat="1" applyFont="1" applyFill="1" applyBorder="1"/>
    <xf numFmtId="3" fontId="2" fillId="2" borderId="1" xfId="0" applyNumberFormat="1" applyFont="1" applyFill="1" applyBorder="1" applyAlignment="1">
      <alignment horizontal="center"/>
    </xf>
    <xf numFmtId="9" fontId="2" fillId="0" borderId="4" xfId="0" applyNumberFormat="1" applyFont="1" applyBorder="1" applyAlignment="1">
      <alignment horizontal="right"/>
    </xf>
    <xf numFmtId="9" fontId="2" fillId="0" borderId="3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9" fontId="2" fillId="0" borderId="2" xfId="0" applyNumberFormat="1" applyFont="1" applyBorder="1" applyAlignment="1">
      <alignment horizontal="right"/>
    </xf>
    <xf numFmtId="164" fontId="2" fillId="2" borderId="1" xfId="0" applyNumberFormat="1" applyFont="1" applyFill="1" applyBorder="1" applyAlignment="1">
      <alignment wrapText="1"/>
    </xf>
    <xf numFmtId="3" fontId="2" fillId="3" borderId="1" xfId="0" applyNumberFormat="1" applyFont="1" applyFill="1" applyBorder="1" applyAlignment="1">
      <alignment horizontal="center" vertical="center"/>
    </xf>
    <xf numFmtId="10" fontId="2" fillId="0" borderId="2" xfId="0" applyNumberFormat="1" applyFont="1" applyBorder="1" applyAlignment="1">
      <alignment horizontal="right"/>
    </xf>
    <xf numFmtId="49" fontId="2" fillId="3" borderId="1" xfId="0" applyNumberFormat="1" applyFont="1" applyFill="1" applyBorder="1" applyAlignment="1">
      <alignment horizontal="center" vertical="center"/>
    </xf>
    <xf numFmtId="9" fontId="2" fillId="2" borderId="2" xfId="0" applyNumberFormat="1" applyFont="1" applyFill="1" applyBorder="1" applyAlignment="1">
      <alignment horizontal="right"/>
    </xf>
    <xf numFmtId="0" fontId="3" fillId="0" borderId="0" xfId="0" applyFont="1"/>
    <xf numFmtId="164" fontId="2" fillId="2" borderId="1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3" fontId="3" fillId="2" borderId="1" xfId="0" applyNumberFormat="1" applyFont="1" applyFill="1" applyBorder="1"/>
    <xf numFmtId="10" fontId="2" fillId="2" borderId="2" xfId="0" applyNumberFormat="1" applyFont="1" applyFill="1" applyBorder="1" applyAlignment="1">
      <alignment horizontal="right"/>
    </xf>
    <xf numFmtId="0" fontId="2" fillId="2" borderId="1" xfId="0" applyFont="1" applyFill="1" applyBorder="1"/>
    <xf numFmtId="164" fontId="2" fillId="2" borderId="2" xfId="0" applyNumberFormat="1" applyFont="1" applyFill="1" applyBorder="1" applyAlignment="1">
      <alignment wrapText="1"/>
    </xf>
    <xf numFmtId="164" fontId="2" fillId="2" borderId="3" xfId="0" applyNumberFormat="1" applyFont="1" applyFill="1" applyBorder="1" applyAlignment="1">
      <alignment wrapText="1"/>
    </xf>
    <xf numFmtId="0" fontId="1" fillId="4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164" fontId="2" fillId="0" borderId="1" xfId="0" applyNumberFormat="1" applyFont="1" applyBorder="1" applyAlignment="1">
      <alignment horizontal="right" wrapText="1"/>
    </xf>
    <xf numFmtId="164" fontId="2" fillId="0" borderId="2" xfId="0" applyNumberFormat="1" applyFont="1" applyBorder="1"/>
    <xf numFmtId="164" fontId="2" fillId="0" borderId="3" xfId="0" applyNumberFormat="1" applyFont="1" applyBorder="1"/>
    <xf numFmtId="10" fontId="2" fillId="2" borderId="3" xfId="0" applyNumberFormat="1" applyFont="1" applyFill="1" applyBorder="1"/>
    <xf numFmtId="164" fontId="2" fillId="0" borderId="5" xfId="0" applyNumberFormat="1" applyFont="1" applyBorder="1" applyAlignment="1">
      <alignment horizontal="right" wrapText="1"/>
    </xf>
    <xf numFmtId="3" fontId="2" fillId="0" borderId="5" xfId="0" applyNumberFormat="1" applyFont="1" applyBorder="1" applyAlignment="1">
      <alignment horizontal="right"/>
    </xf>
    <xf numFmtId="0" fontId="1" fillId="0" borderId="6" xfId="0" applyFont="1" applyBorder="1" applyAlignment="1">
      <alignment wrapText="1"/>
    </xf>
    <xf numFmtId="0" fontId="2" fillId="0" borderId="7" xfId="0" applyFont="1" applyBorder="1"/>
    <xf numFmtId="3" fontId="2" fillId="0" borderId="8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wrapText="1"/>
    </xf>
    <xf numFmtId="164" fontId="1" fillId="0" borderId="3" xfId="0" applyNumberFormat="1" applyFont="1" applyBorder="1" applyAlignment="1">
      <alignment wrapText="1"/>
    </xf>
    <xf numFmtId="10" fontId="1" fillId="2" borderId="3" xfId="0" applyNumberFormat="1" applyFont="1" applyFill="1" applyBorder="1"/>
    <xf numFmtId="0" fontId="4" fillId="3" borderId="0" xfId="0" applyFont="1" applyFill="1" applyAlignment="1">
      <alignment horizontal="left"/>
    </xf>
    <xf numFmtId="0" fontId="1" fillId="0" borderId="10" xfId="0" applyFont="1" applyBorder="1" applyAlignment="1">
      <alignment wrapText="1"/>
    </xf>
    <xf numFmtId="164" fontId="2" fillId="0" borderId="10" xfId="0" applyNumberFormat="1" applyFont="1" applyBorder="1" applyAlignment="1">
      <alignment horizontal="right" wrapText="1"/>
    </xf>
    <xf numFmtId="3" fontId="2" fillId="0" borderId="10" xfId="0" applyNumberFormat="1" applyFont="1" applyBorder="1" applyAlignment="1">
      <alignment horizontal="right"/>
    </xf>
    <xf numFmtId="164" fontId="2" fillId="0" borderId="3" xfId="0" applyNumberFormat="1" applyFont="1" applyBorder="1" applyAlignment="1">
      <alignment horizontal="right" wrapText="1"/>
    </xf>
    <xf numFmtId="164" fontId="2" fillId="0" borderId="7" xfId="0" applyNumberFormat="1" applyFont="1" applyBorder="1" applyAlignment="1">
      <alignment horizontal="right"/>
    </xf>
    <xf numFmtId="0" fontId="2" fillId="0" borderId="8" xfId="0" applyFont="1" applyBorder="1"/>
    <xf numFmtId="164" fontId="1" fillId="0" borderId="8" xfId="0" applyNumberFormat="1" applyFont="1" applyBorder="1" applyAlignment="1">
      <alignment horizontal="right" wrapText="1"/>
    </xf>
    <xf numFmtId="0" fontId="1" fillId="0" borderId="3" xfId="0" applyFont="1" applyBorder="1" applyAlignment="1">
      <alignment wrapText="1"/>
    </xf>
    <xf numFmtId="3" fontId="2" fillId="0" borderId="3" xfId="0" applyNumberFormat="1" applyFont="1" applyBorder="1" applyAlignment="1">
      <alignment horizontal="right"/>
    </xf>
    <xf numFmtId="164" fontId="2" fillId="0" borderId="8" xfId="0" applyNumberFormat="1" applyFont="1" applyBorder="1" applyAlignment="1">
      <alignment horizontal="right"/>
    </xf>
    <xf numFmtId="164" fontId="1" fillId="0" borderId="8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164" fontId="2" fillId="0" borderId="0" xfId="0" applyNumberFormat="1" applyFont="1" applyAlignment="1">
      <alignment horizontal="right"/>
    </xf>
    <xf numFmtId="0" fontId="1" fillId="0" borderId="11" xfId="0" applyFont="1" applyBorder="1" applyAlignment="1">
      <alignment wrapText="1"/>
    </xf>
    <xf numFmtId="0" fontId="1" fillId="2" borderId="11" xfId="0" applyFont="1" applyFill="1" applyBorder="1" applyAlignment="1">
      <alignment wrapText="1"/>
    </xf>
    <xf numFmtId="0" fontId="2" fillId="0" borderId="11" xfId="0" applyFont="1" applyBorder="1" applyAlignment="1">
      <alignment vertical="center" wrapText="1"/>
    </xf>
    <xf numFmtId="0" fontId="2" fillId="0" borderId="11" xfId="0" applyFont="1" applyBorder="1" applyAlignment="1">
      <alignment wrapText="1"/>
    </xf>
    <xf numFmtId="2" fontId="2" fillId="2" borderId="11" xfId="0" applyNumberFormat="1" applyFont="1" applyFill="1" applyBorder="1" applyAlignment="1">
      <alignment horizontal="right" wrapText="1"/>
    </xf>
    <xf numFmtId="0" fontId="2" fillId="0" borderId="11" xfId="0" applyFont="1" applyBorder="1"/>
    <xf numFmtId="0" fontId="2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164" fontId="1" fillId="0" borderId="0" xfId="0" applyNumberFormat="1" applyFont="1" applyAlignment="1">
      <alignment horizontal="right" wrapText="1"/>
    </xf>
    <xf numFmtId="1" fontId="2" fillId="2" borderId="11" xfId="0" applyNumberFormat="1" applyFont="1" applyFill="1" applyBorder="1" applyAlignment="1">
      <alignment horizontal="right" wrapText="1"/>
    </xf>
    <xf numFmtId="164" fontId="1" fillId="2" borderId="11" xfId="0" applyNumberFormat="1" applyFont="1" applyFill="1" applyBorder="1" applyAlignment="1">
      <alignment horizontal="right" wrapText="1"/>
    </xf>
    <xf numFmtId="0" fontId="7" fillId="0" borderId="11" xfId="0" applyFont="1" applyBorder="1" applyAlignment="1">
      <alignment horizontal="left" vertical="center" wrapText="1"/>
    </xf>
    <xf numFmtId="0" fontId="7" fillId="2" borderId="11" xfId="0" applyFont="1" applyFill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4" fontId="9" fillId="3" borderId="11" xfId="0" applyNumberFormat="1" applyFont="1" applyFill="1" applyBorder="1" applyAlignment="1">
      <alignment horizontal="right"/>
    </xf>
    <xf numFmtId="10" fontId="9" fillId="2" borderId="11" xfId="0" applyNumberFormat="1" applyFont="1" applyFill="1" applyBorder="1" applyAlignment="1">
      <alignment horizontal="right"/>
    </xf>
    <xf numFmtId="4" fontId="9" fillId="2" borderId="11" xfId="0" applyNumberFormat="1" applyFont="1" applyFill="1" applyBorder="1" applyAlignment="1">
      <alignment horizontal="right"/>
    </xf>
    <xf numFmtId="0" fontId="10" fillId="0" borderId="11" xfId="0" applyFont="1" applyBorder="1" applyAlignment="1">
      <alignment horizontal="left" vertical="center" wrapText="1"/>
    </xf>
    <xf numFmtId="0" fontId="11" fillId="2" borderId="11" xfId="0" applyFont="1" applyFill="1" applyBorder="1"/>
    <xf numFmtId="165" fontId="11" fillId="2" borderId="11" xfId="0" applyNumberFormat="1" applyFont="1" applyFill="1" applyBorder="1" applyAlignment="1">
      <alignment horizontal="right"/>
    </xf>
    <xf numFmtId="0" fontId="11" fillId="2" borderId="12" xfId="0" applyFont="1" applyFill="1" applyBorder="1"/>
    <xf numFmtId="165" fontId="11" fillId="2" borderId="12" xfId="0" applyNumberFormat="1" applyFont="1" applyFill="1" applyBorder="1" applyAlignment="1">
      <alignment horizontal="center"/>
    </xf>
    <xf numFmtId="0" fontId="12" fillId="2" borderId="11" xfId="0" applyFont="1" applyFill="1" applyBorder="1" applyAlignment="1">
      <alignment wrapText="1"/>
    </xf>
    <xf numFmtId="0" fontId="13" fillId="2" borderId="13" xfId="0" applyFont="1" applyFill="1" applyBorder="1" applyAlignment="1">
      <alignment wrapText="1"/>
    </xf>
    <xf numFmtId="0" fontId="11" fillId="0" borderId="12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164" fontId="11" fillId="0" borderId="14" xfId="0" applyNumberFormat="1" applyFont="1" applyBorder="1" applyAlignment="1">
      <alignment horizontal="right" wrapText="1"/>
    </xf>
    <xf numFmtId="3" fontId="11" fillId="0" borderId="14" xfId="0" applyNumberFormat="1" applyFont="1" applyBorder="1" applyAlignment="1">
      <alignment horizontal="right" wrapText="1"/>
    </xf>
    <xf numFmtId="164" fontId="11" fillId="2" borderId="14" xfId="0" applyNumberFormat="1" applyFont="1" applyFill="1" applyBorder="1" applyAlignment="1">
      <alignment horizontal="right" wrapText="1"/>
    </xf>
    <xf numFmtId="10" fontId="11" fillId="0" borderId="14" xfId="0" applyNumberFormat="1" applyFont="1" applyBorder="1" applyAlignment="1">
      <alignment horizontal="right" wrapText="1"/>
    </xf>
    <xf numFmtId="10" fontId="11" fillId="2" borderId="14" xfId="0" applyNumberFormat="1" applyFont="1" applyFill="1" applyBorder="1" applyAlignment="1">
      <alignment horizontal="right" wrapText="1"/>
    </xf>
    <xf numFmtId="164" fontId="12" fillId="2" borderId="14" xfId="0" applyNumberFormat="1" applyFont="1" applyFill="1" applyBorder="1" applyAlignment="1">
      <alignment horizontal="right" wrapText="1"/>
    </xf>
    <xf numFmtId="3" fontId="12" fillId="2" borderId="14" xfId="0" applyNumberFormat="1" applyFont="1" applyFill="1" applyBorder="1" applyAlignment="1">
      <alignment horizontal="right" wrapText="1"/>
    </xf>
    <xf numFmtId="10" fontId="12" fillId="2" borderId="14" xfId="0" applyNumberFormat="1" applyFont="1" applyFill="1" applyBorder="1" applyAlignment="1">
      <alignment horizontal="right" wrapText="1"/>
    </xf>
    <xf numFmtId="165" fontId="11" fillId="0" borderId="11" xfId="0" applyNumberFormat="1" applyFont="1" applyBorder="1" applyAlignment="1">
      <alignment horizontal="center"/>
    </xf>
    <xf numFmtId="165" fontId="11" fillId="0" borderId="11" xfId="0" applyNumberFormat="1" applyFont="1" applyBorder="1" applyAlignment="1">
      <alignment horizontal="right"/>
    </xf>
    <xf numFmtId="165" fontId="11" fillId="0" borderId="12" xfId="0" applyNumberFormat="1" applyFont="1" applyBorder="1" applyAlignment="1">
      <alignment horizontal="center"/>
    </xf>
    <xf numFmtId="0" fontId="14" fillId="0" borderId="0" xfId="0" applyFont="1" applyAlignment="1">
      <alignment horizontal="left"/>
    </xf>
    <xf numFmtId="49" fontId="11" fillId="0" borderId="1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1" xfId="0" applyFont="1" applyBorder="1"/>
    <xf numFmtId="166" fontId="2" fillId="0" borderId="11" xfId="0" applyNumberFormat="1" applyFont="1" applyBorder="1"/>
    <xf numFmtId="167" fontId="2" fillId="0" borderId="11" xfId="0" applyNumberFormat="1" applyFont="1" applyBorder="1"/>
    <xf numFmtId="0" fontId="1" fillId="2" borderId="11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/>
    </xf>
    <xf numFmtId="0" fontId="2" fillId="0" borderId="11" xfId="0" applyFont="1" applyBorder="1" applyAlignment="1">
      <alignment horizontal="left" vertical="center" wrapText="1"/>
    </xf>
    <xf numFmtId="49" fontId="2" fillId="2" borderId="11" xfId="0" applyNumberFormat="1" applyFont="1" applyFill="1" applyBorder="1" applyAlignment="1">
      <alignment horizontal="right" vertical="center"/>
    </xf>
    <xf numFmtId="49" fontId="2" fillId="2" borderId="11" xfId="0" applyNumberFormat="1" applyFont="1" applyFill="1" applyBorder="1" applyAlignment="1">
      <alignment horizontal="left" vertical="center"/>
    </xf>
    <xf numFmtId="164" fontId="0" fillId="0" borderId="0" xfId="0" applyNumberFormat="1"/>
    <xf numFmtId="0" fontId="5" fillId="5" borderId="16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wrapText="1"/>
    </xf>
    <xf numFmtId="0" fontId="6" fillId="0" borderId="16" xfId="0" applyFont="1" applyBorder="1"/>
    <xf numFmtId="0" fontId="12" fillId="2" borderId="13" xfId="0" applyFont="1" applyFill="1" applyBorder="1" applyAlignment="1">
      <alignment wrapText="1"/>
    </xf>
    <xf numFmtId="0" fontId="2" fillId="0" borderId="11" xfId="0" applyFont="1" applyBorder="1" applyAlignment="1">
      <alignment horizontal="center" vertical="center"/>
    </xf>
    <xf numFmtId="169" fontId="1" fillId="4" borderId="1" xfId="0" applyNumberFormat="1" applyFont="1" applyFill="1" applyBorder="1" applyAlignment="1">
      <alignment horizontal="center"/>
    </xf>
    <xf numFmtId="169" fontId="1" fillId="6" borderId="1" xfId="0" applyNumberFormat="1" applyFont="1" applyFill="1" applyBorder="1" applyAlignment="1">
      <alignment horizontal="center"/>
    </xf>
    <xf numFmtId="169" fontId="1" fillId="0" borderId="1" xfId="0" applyNumberFormat="1" applyFont="1" applyBorder="1" applyAlignment="1">
      <alignment wrapText="1"/>
    </xf>
    <xf numFmtId="169" fontId="15" fillId="0" borderId="1" xfId="0" applyNumberFormat="1" applyFont="1" applyBorder="1"/>
    <xf numFmtId="169" fontId="15" fillId="0" borderId="0" xfId="0" applyNumberFormat="1" applyFont="1"/>
    <xf numFmtId="3" fontId="2" fillId="0" borderId="1" xfId="0" applyNumberFormat="1" applyFont="1" applyBorder="1" applyAlignment="1">
      <alignment horizontal="right" wrapText="1"/>
    </xf>
    <xf numFmtId="1" fontId="2" fillId="7" borderId="11" xfId="0" applyNumberFormat="1" applyFont="1" applyFill="1" applyBorder="1" applyAlignment="1">
      <alignment horizontal="center" vertical="center"/>
    </xf>
    <xf numFmtId="0" fontId="1" fillId="7" borderId="11" xfId="0" applyFont="1" applyFill="1" applyBorder="1"/>
    <xf numFmtId="0" fontId="1" fillId="7" borderId="1" xfId="0" applyFont="1" applyFill="1" applyBorder="1" applyAlignment="1">
      <alignment wrapText="1"/>
    </xf>
    <xf numFmtId="0" fontId="1" fillId="8" borderId="11" xfId="0" applyFont="1" applyFill="1" applyBorder="1"/>
    <xf numFmtId="0" fontId="1" fillId="7" borderId="11" xfId="0" applyFont="1" applyFill="1" applyBorder="1" applyAlignment="1">
      <alignment wrapText="1"/>
    </xf>
    <xf numFmtId="0" fontId="1" fillId="7" borderId="17" xfId="0" applyFont="1" applyFill="1" applyBorder="1"/>
    <xf numFmtId="0" fontId="1" fillId="7" borderId="12" xfId="0" applyFont="1" applyFill="1" applyBorder="1" applyAlignment="1">
      <alignment wrapText="1"/>
    </xf>
    <xf numFmtId="0" fontId="0" fillId="8" borderId="11" xfId="0" applyFill="1" applyBorder="1"/>
    <xf numFmtId="169" fontId="15" fillId="6" borderId="1" xfId="0" applyNumberFormat="1" applyFont="1" applyFill="1" applyBorder="1"/>
    <xf numFmtId="0" fontId="16" fillId="9" borderId="16" xfId="0" applyFont="1" applyFill="1" applyBorder="1" applyAlignment="1">
      <alignment horizontal="center"/>
    </xf>
    <xf numFmtId="0" fontId="16" fillId="10" borderId="16" xfId="0" applyFont="1" applyFill="1" applyBorder="1" applyAlignment="1">
      <alignment horizontal="center"/>
    </xf>
    <xf numFmtId="0" fontId="16" fillId="11" borderId="16" xfId="0" applyFont="1" applyFill="1" applyBorder="1" applyAlignment="1">
      <alignment horizontal="center"/>
    </xf>
    <xf numFmtId="0" fontId="16" fillId="12" borderId="16" xfId="0" applyFont="1" applyFill="1" applyBorder="1" applyAlignment="1">
      <alignment horizontal="center"/>
    </xf>
    <xf numFmtId="168" fontId="15" fillId="0" borderId="1" xfId="0" applyNumberFormat="1" applyFont="1" applyBorder="1"/>
    <xf numFmtId="168" fontId="15" fillId="0" borderId="0" xfId="0" applyNumberFormat="1" applyFont="1"/>
    <xf numFmtId="168" fontId="1" fillId="0" borderId="1" xfId="0" applyNumberFormat="1" applyFont="1" applyBorder="1" applyAlignment="1">
      <alignment wrapText="1"/>
    </xf>
    <xf numFmtId="169" fontId="1" fillId="0" borderId="0" xfId="0" applyNumberFormat="1" applyFont="1" applyAlignment="1">
      <alignment wrapText="1"/>
    </xf>
    <xf numFmtId="168" fontId="1" fillId="0" borderId="0" xfId="0" applyNumberFormat="1" applyFont="1" applyAlignment="1">
      <alignment wrapText="1"/>
    </xf>
    <xf numFmtId="49" fontId="15" fillId="6" borderId="1" xfId="0" applyNumberFormat="1" applyFont="1" applyFill="1" applyBorder="1" applyAlignment="1">
      <alignment horizontal="center"/>
    </xf>
    <xf numFmtId="169" fontId="1" fillId="0" borderId="1" xfId="0" applyNumberFormat="1" applyFont="1" applyBorder="1" applyAlignment="1">
      <alignment horizontal="center" wrapText="1"/>
    </xf>
    <xf numFmtId="0" fontId="1" fillId="2" borderId="0" xfId="0" applyFont="1" applyFill="1" applyAlignment="1">
      <alignment horizontal="left" vertical="center" wrapText="1"/>
    </xf>
    <xf numFmtId="2" fontId="2" fillId="0" borderId="0" xfId="0" applyNumberFormat="1" applyFont="1"/>
    <xf numFmtId="0" fontId="1" fillId="7" borderId="19" xfId="0" applyFont="1" applyFill="1" applyBorder="1" applyAlignment="1">
      <alignment wrapText="1"/>
    </xf>
    <xf numFmtId="1" fontId="2" fillId="7" borderId="17" xfId="0" applyNumberFormat="1" applyFont="1" applyFill="1" applyBorder="1" applyAlignment="1">
      <alignment horizontal="center" vertical="center"/>
    </xf>
    <xf numFmtId="7" fontId="1" fillId="0" borderId="1" xfId="0" applyNumberFormat="1" applyFont="1" applyBorder="1" applyAlignment="1">
      <alignment wrapText="1"/>
    </xf>
    <xf numFmtId="7" fontId="15" fillId="0" borderId="1" xfId="0" applyNumberFormat="1" applyFont="1" applyBorder="1"/>
    <xf numFmtId="7" fontId="15" fillId="0" borderId="0" xfId="0" applyNumberFormat="1" applyFont="1"/>
    <xf numFmtId="0" fontId="1" fillId="4" borderId="1" xfId="0" applyFont="1" applyFill="1" applyBorder="1" applyAlignment="1">
      <alignment horizontal="center"/>
    </xf>
    <xf numFmtId="0" fontId="15" fillId="0" borderId="0" xfId="0" applyFont="1"/>
    <xf numFmtId="0" fontId="2" fillId="0" borderId="10" xfId="0" applyFont="1" applyBorder="1" applyAlignment="1">
      <alignment horizontal="right" wrapText="1"/>
    </xf>
    <xf numFmtId="3" fontId="2" fillId="0" borderId="10" xfId="0" applyNumberFormat="1" applyFont="1" applyBorder="1" applyAlignment="1">
      <alignment horizontal="right" wrapText="1"/>
    </xf>
    <xf numFmtId="169" fontId="0" fillId="0" borderId="0" xfId="0" applyNumberFormat="1"/>
    <xf numFmtId="169" fontId="2" fillId="0" borderId="0" xfId="0" applyNumberFormat="1" applyFont="1"/>
    <xf numFmtId="169" fontId="1" fillId="0" borderId="2" xfId="0" applyNumberFormat="1" applyFont="1" applyBorder="1" applyAlignment="1">
      <alignment wrapText="1"/>
    </xf>
    <xf numFmtId="10" fontId="15" fillId="0" borderId="0" xfId="0" applyNumberFormat="1" applyFont="1"/>
    <xf numFmtId="10" fontId="15" fillId="0" borderId="22" xfId="0" applyNumberFormat="1" applyFont="1" applyBorder="1"/>
    <xf numFmtId="0" fontId="1" fillId="6" borderId="1" xfId="0" applyFont="1" applyFill="1" applyBorder="1" applyAlignment="1">
      <alignment horizontal="center"/>
    </xf>
    <xf numFmtId="169" fontId="1" fillId="0" borderId="11" xfId="0" applyNumberFormat="1" applyFont="1" applyBorder="1" applyAlignment="1">
      <alignment wrapText="1"/>
    </xf>
    <xf numFmtId="10" fontId="15" fillId="0" borderId="11" xfId="0" applyNumberFormat="1" applyFont="1" applyBorder="1"/>
    <xf numFmtId="1" fontId="1" fillId="4" borderId="11" xfId="0" applyNumberFormat="1" applyFont="1" applyFill="1" applyBorder="1" applyAlignment="1">
      <alignment horizontal="center"/>
    </xf>
    <xf numFmtId="1" fontId="1" fillId="6" borderId="11" xfId="0" applyNumberFormat="1" applyFont="1" applyFill="1" applyBorder="1" applyAlignment="1">
      <alignment horizontal="center"/>
    </xf>
    <xf numFmtId="1" fontId="15" fillId="0" borderId="11" xfId="0" applyNumberFormat="1" applyFont="1" applyBorder="1"/>
    <xf numFmtId="10" fontId="2" fillId="0" borderId="0" xfId="0" applyNumberFormat="1" applyFont="1"/>
    <xf numFmtId="10" fontId="1" fillId="0" borderId="0" xfId="0" applyNumberFormat="1" applyFont="1"/>
    <xf numFmtId="169" fontId="1" fillId="0" borderId="25" xfId="0" applyNumberFormat="1" applyFont="1" applyBorder="1" applyAlignment="1">
      <alignment wrapText="1"/>
    </xf>
    <xf numFmtId="0" fontId="16" fillId="13" borderId="16" xfId="0" applyFont="1" applyFill="1" applyBorder="1" applyAlignment="1">
      <alignment horizontal="center"/>
    </xf>
    <xf numFmtId="169" fontId="1" fillId="0" borderId="1" xfId="0" applyNumberFormat="1" applyFont="1" applyBorder="1" applyAlignment="1">
      <alignment horizontal="right" wrapText="1"/>
    </xf>
    <xf numFmtId="168" fontId="1" fillId="0" borderId="1" xfId="0" applyNumberFormat="1" applyFont="1" applyBorder="1" applyAlignment="1">
      <alignment horizontal="right" wrapText="1"/>
    </xf>
    <xf numFmtId="169" fontId="15" fillId="0" borderId="0" xfId="0" applyNumberFormat="1" applyFont="1" applyAlignment="1">
      <alignment horizontal="right"/>
    </xf>
    <xf numFmtId="1" fontId="1" fillId="6" borderId="11" xfId="0" applyNumberFormat="1" applyFont="1" applyFill="1" applyBorder="1" applyAlignment="1">
      <alignment horizontal="right"/>
    </xf>
    <xf numFmtId="10" fontId="15" fillId="0" borderId="11" xfId="0" applyNumberFormat="1" applyFont="1" applyBorder="1" applyAlignment="1">
      <alignment horizontal="right"/>
    </xf>
    <xf numFmtId="10" fontId="15" fillId="0" borderId="0" xfId="0" applyNumberFormat="1" applyFont="1" applyAlignment="1">
      <alignment horizontal="right"/>
    </xf>
    <xf numFmtId="0" fontId="1" fillId="6" borderId="5" xfId="0" applyFont="1" applyFill="1" applyBorder="1" applyAlignment="1">
      <alignment horizontal="right"/>
    </xf>
    <xf numFmtId="10" fontId="15" fillId="0" borderId="22" xfId="0" applyNumberFormat="1" applyFont="1" applyBorder="1" applyAlignment="1">
      <alignment horizontal="right"/>
    </xf>
    <xf numFmtId="169" fontId="15" fillId="14" borderId="0" xfId="0" applyNumberFormat="1" applyFont="1" applyFill="1"/>
    <xf numFmtId="169" fontId="15" fillId="14" borderId="0" xfId="0" applyNumberFormat="1" applyFont="1" applyFill="1" applyAlignment="1">
      <alignment horizontal="right"/>
    </xf>
    <xf numFmtId="169" fontId="1" fillId="14" borderId="1" xfId="0" applyNumberFormat="1" applyFont="1" applyFill="1" applyBorder="1" applyAlignment="1">
      <alignment wrapText="1"/>
    </xf>
    <xf numFmtId="169" fontId="1" fillId="14" borderId="1" xfId="0" applyNumberFormat="1" applyFont="1" applyFill="1" applyBorder="1" applyAlignment="1">
      <alignment horizontal="right" wrapText="1"/>
    </xf>
    <xf numFmtId="168" fontId="17" fillId="14" borderId="1" xfId="0" applyNumberFormat="1" applyFont="1" applyFill="1" applyBorder="1" applyAlignment="1">
      <alignment wrapText="1"/>
    </xf>
    <xf numFmtId="168" fontId="1" fillId="14" borderId="1" xfId="0" applyNumberFormat="1" applyFont="1" applyFill="1" applyBorder="1" applyAlignment="1">
      <alignment wrapText="1"/>
    </xf>
    <xf numFmtId="168" fontId="15" fillId="14" borderId="0" xfId="0" applyNumberFormat="1" applyFont="1" applyFill="1"/>
    <xf numFmtId="169" fontId="1" fillId="0" borderId="1" xfId="0" applyNumberFormat="1" applyFont="1" applyBorder="1" applyAlignment="1">
      <alignment horizontal="left" wrapText="1"/>
    </xf>
    <xf numFmtId="0" fontId="1" fillId="6" borderId="1" xfId="0" applyFont="1" applyFill="1" applyBorder="1" applyAlignment="1">
      <alignment horizontal="right"/>
    </xf>
    <xf numFmtId="0" fontId="17" fillId="6" borderId="1" xfId="0" applyFont="1" applyFill="1" applyBorder="1" applyAlignment="1">
      <alignment horizontal="center"/>
    </xf>
    <xf numFmtId="169" fontId="1" fillId="4" borderId="1" xfId="0" applyNumberFormat="1" applyFont="1" applyFill="1" applyBorder="1" applyAlignment="1">
      <alignment horizontal="center" vertical="center"/>
    </xf>
    <xf numFmtId="169" fontId="1" fillId="6" borderId="1" xfId="0" applyNumberFormat="1" applyFont="1" applyFill="1" applyBorder="1" applyAlignment="1">
      <alignment horizontal="center" vertical="center"/>
    </xf>
    <xf numFmtId="169" fontId="15" fillId="6" borderId="1" xfId="0" applyNumberFormat="1" applyFont="1" applyFill="1" applyBorder="1" applyAlignment="1">
      <alignment horizontal="center" vertical="center"/>
    </xf>
    <xf numFmtId="169" fontId="15" fillId="0" borderId="1" xfId="0" applyNumberFormat="1" applyFont="1" applyBorder="1" applyAlignment="1">
      <alignment horizontal="center" vertical="center"/>
    </xf>
    <xf numFmtId="169" fontId="1" fillId="0" borderId="5" xfId="0" applyNumberFormat="1" applyFont="1" applyBorder="1" applyAlignment="1">
      <alignment wrapText="1"/>
    </xf>
    <xf numFmtId="0" fontId="17" fillId="0" borderId="1" xfId="0" applyFont="1" applyBorder="1" applyAlignment="1">
      <alignment wrapText="1"/>
    </xf>
    <xf numFmtId="0" fontId="18" fillId="0" borderId="0" xfId="0" applyFont="1"/>
    <xf numFmtId="0" fontId="2" fillId="0" borderId="11" xfId="0" applyFont="1" applyBorder="1" applyAlignment="1">
      <alignment horizontal="center" vertical="center" wrapText="1"/>
    </xf>
    <xf numFmtId="2" fontId="2" fillId="0" borderId="11" xfId="0" applyNumberFormat="1" applyFont="1" applyBorder="1" applyAlignment="1">
      <alignment horizontal="center" vertical="center" wrapText="1"/>
    </xf>
    <xf numFmtId="2" fontId="2" fillId="2" borderId="11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168" fontId="0" fillId="0" borderId="11" xfId="0" applyNumberFormat="1" applyBorder="1" applyAlignment="1">
      <alignment horizontal="center"/>
    </xf>
    <xf numFmtId="168" fontId="0" fillId="0" borderId="0" xfId="0" applyNumberFormat="1"/>
    <xf numFmtId="0" fontId="2" fillId="0" borderId="17" xfId="0" applyFont="1" applyBorder="1" applyAlignment="1">
      <alignment horizontal="center" vertical="center" wrapText="1"/>
    </xf>
    <xf numFmtId="2" fontId="2" fillId="0" borderId="17" xfId="0" applyNumberFormat="1" applyFont="1" applyBorder="1" applyAlignment="1">
      <alignment horizontal="center" vertical="center" wrapText="1"/>
    </xf>
    <xf numFmtId="2" fontId="2" fillId="2" borderId="17" xfId="0" applyNumberFormat="1" applyFont="1" applyFill="1" applyBorder="1" applyAlignment="1">
      <alignment horizontal="center" vertical="center" wrapText="1"/>
    </xf>
    <xf numFmtId="164" fontId="2" fillId="2" borderId="17" xfId="0" applyNumberFormat="1" applyFont="1" applyFill="1" applyBorder="1" applyAlignment="1">
      <alignment horizontal="center" vertical="center" wrapText="1"/>
    </xf>
    <xf numFmtId="2" fontId="2" fillId="0" borderId="15" xfId="0" applyNumberFormat="1" applyFont="1" applyBorder="1" applyAlignment="1">
      <alignment horizontal="center" vertical="center" wrapText="1"/>
    </xf>
    <xf numFmtId="0" fontId="19" fillId="0" borderId="0" xfId="1" applyFill="1"/>
    <xf numFmtId="0" fontId="12" fillId="2" borderId="15" xfId="0" applyFont="1" applyFill="1" applyBorder="1" applyAlignment="1">
      <alignment wrapText="1"/>
    </xf>
    <xf numFmtId="0" fontId="12" fillId="2" borderId="18" xfId="0" applyFont="1" applyFill="1" applyBorder="1" applyAlignment="1">
      <alignment wrapText="1"/>
    </xf>
    <xf numFmtId="0" fontId="12" fillId="2" borderId="13" xfId="0" applyFont="1" applyFill="1" applyBorder="1" applyAlignment="1">
      <alignment wrapText="1"/>
    </xf>
    <xf numFmtId="0" fontId="2" fillId="0" borderId="20" xfId="0" applyFont="1" applyBorder="1" applyAlignment="1">
      <alignment wrapText="1"/>
    </xf>
    <xf numFmtId="0" fontId="2" fillId="0" borderId="14" xfId="0" applyFont="1" applyBorder="1" applyAlignment="1">
      <alignment wrapText="1"/>
    </xf>
    <xf numFmtId="0" fontId="1" fillId="0" borderId="11" xfId="0" applyFont="1" applyBorder="1" applyAlignment="1">
      <alignment horizontal="center" vertical="center" wrapText="1"/>
    </xf>
    <xf numFmtId="0" fontId="2" fillId="0" borderId="15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17" xfId="0" applyFont="1" applyBorder="1" applyAlignment="1">
      <alignment wrapText="1"/>
    </xf>
    <xf numFmtId="0" fontId="1" fillId="0" borderId="1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169" fontId="1" fillId="4" borderId="2" xfId="0" applyNumberFormat="1" applyFont="1" applyFill="1" applyBorder="1" applyAlignment="1">
      <alignment horizontal="center"/>
    </xf>
    <xf numFmtId="169" fontId="1" fillId="4" borderId="21" xfId="0" applyNumberFormat="1" applyFont="1" applyFill="1" applyBorder="1" applyAlignment="1">
      <alignment horizontal="center"/>
    </xf>
    <xf numFmtId="169" fontId="1" fillId="4" borderId="23" xfId="0" applyNumberFormat="1" applyFont="1" applyFill="1" applyBorder="1" applyAlignment="1">
      <alignment horizontal="center"/>
    </xf>
    <xf numFmtId="169" fontId="1" fillId="4" borderId="24" xfId="0" applyNumberFormat="1" applyFont="1" applyFill="1" applyBorder="1" applyAlignment="1">
      <alignment horizontal="center"/>
    </xf>
    <xf numFmtId="0" fontId="2" fillId="0" borderId="11" xfId="0" applyFont="1" applyBorder="1" applyAlignment="1"/>
  </cellXfs>
  <cellStyles count="2">
    <cellStyle name="Hyperlink" xfId="1" xr:uid="{00000000-000B-0000-0000-000008000000}"/>
    <cellStyle name="Normal" xfId="0" builtinId="0"/>
  </cellStyles>
  <dxfs count="23">
    <dxf>
      <font>
        <color theme="4" tint="0.79998168889431442"/>
      </font>
      <fill>
        <patternFill patternType="solid">
          <bgColor theme="4" tint="0.79998168889431442"/>
        </patternFill>
      </fill>
    </dxf>
    <dxf>
      <font>
        <color theme="4" tint="0.39997558519241921"/>
      </font>
      <fill>
        <patternFill patternType="solid">
          <bgColor theme="4" tint="0.39997558519241921"/>
        </patternFill>
      </fill>
    </dxf>
    <dxf>
      <font>
        <color theme="4" tint="-0.249977111117893"/>
      </font>
      <fill>
        <patternFill patternType="solid">
          <bgColor theme="4" tint="-0.249977111117893"/>
        </patternFill>
      </fill>
    </dxf>
    <dxf>
      <font>
        <color theme="4" tint="-0.499984740745262"/>
      </font>
      <fill>
        <patternFill patternType="solid">
          <bgColor theme="4" tint="-0.499984740745262"/>
        </patternFill>
      </fill>
    </dxf>
    <dxf>
      <font>
        <color theme="4" tint="0.79998168889431442"/>
      </font>
      <fill>
        <patternFill patternType="solid">
          <bgColor theme="4" tint="0.79998168889431442"/>
        </patternFill>
      </fill>
    </dxf>
    <dxf>
      <font>
        <color theme="4" tint="0.39997558519241921"/>
      </font>
      <fill>
        <patternFill patternType="solid">
          <bgColor theme="4" tint="0.39997558519241921"/>
        </patternFill>
      </fill>
    </dxf>
    <dxf>
      <font>
        <color theme="4" tint="-0.249977111117893"/>
      </font>
      <fill>
        <patternFill patternType="solid">
          <bgColor theme="4" tint="-0.249977111117893"/>
        </patternFill>
      </fill>
    </dxf>
    <dxf>
      <font>
        <color theme="4" tint="-0.499984740745262"/>
      </font>
      <fill>
        <patternFill patternType="solid">
          <bgColor theme="4" tint="-0.499984740745262"/>
        </patternFill>
      </fill>
    </dxf>
    <dxf>
      <font>
        <color theme="4" tint="0.79998168889431442"/>
      </font>
      <fill>
        <patternFill patternType="solid">
          <bgColor theme="4" tint="0.79998168889431442"/>
        </patternFill>
      </fill>
    </dxf>
    <dxf>
      <font>
        <color theme="4" tint="0.59999389629810485"/>
      </font>
      <fill>
        <patternFill patternType="solid">
          <bgColor theme="4" tint="0.59999389629810485"/>
        </patternFill>
      </fill>
    </dxf>
    <dxf>
      <font>
        <color theme="4" tint="0.39997558519241921"/>
      </font>
      <fill>
        <patternFill patternType="solid">
          <bgColor theme="4" tint="0.39997558519241921"/>
        </patternFill>
      </fill>
    </dxf>
    <dxf>
      <font>
        <color theme="4" tint="-0.249977111117893"/>
      </font>
      <fill>
        <patternFill patternType="solid">
          <bgColor theme="4" tint="-0.249977111117893"/>
        </patternFill>
      </fill>
    </dxf>
    <dxf>
      <font>
        <color theme="4" tint="-0.499984740745262"/>
      </font>
      <fill>
        <patternFill patternType="solid">
          <bgColor theme="4" tint="-0.499984740745262"/>
        </patternFill>
      </fill>
    </dxf>
    <dxf>
      <font>
        <color theme="4" tint="0.79998168889431442"/>
      </font>
      <fill>
        <patternFill patternType="solid">
          <bgColor theme="4" tint="0.79998168889431442"/>
        </patternFill>
      </fill>
    </dxf>
    <dxf>
      <font>
        <color theme="4" tint="0.59999389629810485"/>
      </font>
      <fill>
        <patternFill patternType="solid">
          <bgColor theme="4" tint="0.59999389629810485"/>
        </patternFill>
      </fill>
    </dxf>
    <dxf>
      <font>
        <color theme="4" tint="0.39997558519241921"/>
      </font>
      <fill>
        <patternFill patternType="solid">
          <bgColor theme="4" tint="0.39997558519241921"/>
        </patternFill>
      </fill>
    </dxf>
    <dxf>
      <font>
        <color theme="4" tint="-0.249977111117893"/>
      </font>
      <fill>
        <patternFill patternType="solid">
          <bgColor theme="4" tint="-0.249977111117893"/>
        </patternFill>
      </fill>
    </dxf>
    <dxf>
      <font>
        <color theme="4" tint="-0.499984740745262"/>
      </font>
      <fill>
        <patternFill patternType="solid">
          <bgColor theme="4" tint="-0.499984740745262"/>
        </patternFill>
      </fill>
    </dxf>
    <dxf>
      <font>
        <color theme="4" tint="0.79998168889431442"/>
      </font>
      <fill>
        <patternFill patternType="solid">
          <bgColor theme="4" tint="0.79998168889431442"/>
        </patternFill>
      </fill>
    </dxf>
    <dxf>
      <font>
        <color theme="4" tint="0.59999389629810485"/>
      </font>
      <fill>
        <patternFill patternType="solid">
          <bgColor theme="4" tint="0.59999389629810485"/>
        </patternFill>
      </fill>
    </dxf>
    <dxf>
      <font>
        <color theme="4" tint="0.39997558519241921"/>
      </font>
      <fill>
        <patternFill patternType="solid">
          <bgColor theme="4" tint="0.39997558519241921"/>
        </patternFill>
      </fill>
    </dxf>
    <dxf>
      <font>
        <color theme="4" tint="-0.249977111117893"/>
      </font>
      <fill>
        <patternFill patternType="solid">
          <bgColor theme="4" tint="-0.249977111117893"/>
        </patternFill>
      </fill>
    </dxf>
    <dxf>
      <font>
        <color theme="4" tint="-0.499984740745262"/>
      </font>
      <fill>
        <patternFill patternType="solid">
          <bgColor theme="4" tint="-0.499984740745262"/>
        </patternFill>
      </fill>
    </dxf>
  </dxfs>
  <tableStyles count="0" defaultTableStyle="TableStyleMedium2" defaultPivotStyle="PivotStyleLight16"/>
  <colors>
    <mruColors>
      <color rgb="FF3C78D8"/>
      <color rgb="FFF3F3F3"/>
      <color rgb="FFDAF1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504825</xdr:colOff>
      <xdr:row>19</xdr:row>
      <xdr:rowOff>0</xdr:rowOff>
    </xdr:from>
    <xdr:to>
      <xdr:col>3</xdr:col>
      <xdr:colOff>1162050</xdr:colOff>
      <xdr:row>20</xdr:row>
      <xdr:rowOff>130175</xdr:rowOff>
    </xdr:to>
    <xdr:sp macro="" textlink="">
      <xdr:nvSpPr>
        <xdr:cNvPr id="5" name="Rectángulo redondeado 4">
          <a:extLst>
            <a:ext uri="{FF2B5EF4-FFF2-40B4-BE49-F238E27FC236}">
              <a16:creationId xmlns:a16="http://schemas.microsoft.com/office/drawing/2014/main" id="{54DDCE58-7863-49F4-B4D0-DA35BE3BC43F}"/>
            </a:ext>
            <a:ext uri="{147F2762-F138-4A5C-976F-8EAC2B608ADB}">
              <a16:predDERef xmlns:a16="http://schemas.microsoft.com/office/drawing/2014/main" pred="{AE92F181-631F-49A4-8AFE-339FF344C7EA}"/>
            </a:ext>
            <a:ext uri="{6ECC49D1-AA05-4338-93AA-15A1B29DFB0A}">
              <asl:scriptLink xmlns:asl="http://schemas.microsoft.com/office/drawing/2021/scriptlink" val="{&quot;shareId&quot;:&quot;ms-officescript%3A%2F%2Fsharepoint_sharinglink%2Fu!aHR0cHM6Ly93Z2NwLnNoYXJlcG9pbnQuY29tLzp1Oi9zL05VVlUtQ29tZXJjaWFsL0VTQklMQjNKeS1WRWpGQVNTdzh1a0E0QmcydU9VeGtXM2hYc3Ntb2dSVjJKUmc&quot;}"/>
            </a:ext>
          </a:extLst>
        </xdr:cNvPr>
        <xdr:cNvSpPr/>
      </xdr:nvSpPr>
      <xdr:spPr>
        <a:xfrm>
          <a:off x="1790700" y="3181350"/>
          <a:ext cx="1295400" cy="292100"/>
        </a:xfrm>
        <a:prstGeom prst="roundRect">
          <a:avLst/>
        </a:prstGeom>
        <a:ln>
          <a:solidFill>
            <a:srgbClr val="0070BF"/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FeedPercentage</a:t>
          </a:r>
        </a:p>
      </xdr:txBody>
    </xdr:sp>
    <xdr:clientData/>
  </xdr:twoCellAnchor>
  <xdr:twoCellAnchor>
    <xdr:from>
      <xdr:col>3</xdr:col>
      <xdr:colOff>1457325</xdr:colOff>
      <xdr:row>19</xdr:row>
      <xdr:rowOff>9525</xdr:rowOff>
    </xdr:from>
    <xdr:to>
      <xdr:col>5</xdr:col>
      <xdr:colOff>254000</xdr:colOff>
      <xdr:row>20</xdr:row>
      <xdr:rowOff>139700</xdr:rowOff>
    </xdr:to>
    <xdr:sp macro="" textlink="">
      <xdr:nvSpPr>
        <xdr:cNvPr id="7" name="Rectángulo redondeado 6">
          <a:extLst>
            <a:ext uri="{FF2B5EF4-FFF2-40B4-BE49-F238E27FC236}">
              <a16:creationId xmlns:a16="http://schemas.microsoft.com/office/drawing/2014/main" id="{18005420-5FD7-428C-9078-6BCE32D10CC6}"/>
            </a:ext>
            <a:ext uri="{147F2762-F138-4A5C-976F-8EAC2B608ADB}">
              <a16:predDERef xmlns:a16="http://schemas.microsoft.com/office/drawing/2014/main" pred="{54DDCE58-7863-49F4-B4D0-DA35BE3BC43F}"/>
            </a:ext>
            <a:ext uri="{6ECC49D1-AA05-4338-93AA-15A1B29DFB0A}">
              <asl:scriptLink xmlns:asl="http://schemas.microsoft.com/office/drawing/2021/scriptlink" val="{&quot;shareId&quot;:&quot;ms-officescript%3A%2F%2Fsharepoint_sharinglink%2Fu!aHR0cHM6Ly93Z2NwLnNoYXJlcG9pbnQuY29tLzp1Oi9zL05VVlUtQ29tZXJjaWFsL0VaRHNodjRKTWNwTmpfNUhLZHpCb29zQmdJOXB0aV9sM3F2QVUtZ25Ha09TVVE&quot;}"/>
            </a:ext>
          </a:extLst>
        </xdr:cNvPr>
        <xdr:cNvSpPr/>
      </xdr:nvSpPr>
      <xdr:spPr>
        <a:xfrm>
          <a:off x="3381375" y="3190875"/>
          <a:ext cx="1930400" cy="292100"/>
        </a:xfrm>
        <a:prstGeom prst="round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FeedTotalFinacePercetage</a:t>
          </a:r>
        </a:p>
      </xdr:txBody>
    </xdr:sp>
    <xdr:clientData/>
  </xdr:twoCellAnchor>
  <xdr:twoCellAnchor>
    <xdr:from>
      <xdr:col>0</xdr:col>
      <xdr:colOff>495300</xdr:colOff>
      <xdr:row>19</xdr:row>
      <xdr:rowOff>0</xdr:rowOff>
    </xdr:from>
    <xdr:to>
      <xdr:col>2</xdr:col>
      <xdr:colOff>187325</xdr:colOff>
      <xdr:row>20</xdr:row>
      <xdr:rowOff>130175</xdr:rowOff>
    </xdr:to>
    <xdr:sp macro="" textlink="">
      <xdr:nvSpPr>
        <xdr:cNvPr id="6" name="Rectángulo redondeado 5">
          <a:extLst>
            <a:ext uri="{FF2B5EF4-FFF2-40B4-BE49-F238E27FC236}">
              <a16:creationId xmlns:a16="http://schemas.microsoft.com/office/drawing/2014/main" id="{3DDBEC7E-F5FC-49AA-825B-528B6D5D7133}"/>
            </a:ext>
            <a:ext uri="{147F2762-F138-4A5C-976F-8EAC2B608ADB}">
              <a16:predDERef xmlns:a16="http://schemas.microsoft.com/office/drawing/2014/main" pred="{18005420-5FD7-428C-9078-6BCE32D10CC6}"/>
            </a:ext>
            <a:ext uri="{6ECC49D1-AA05-4338-93AA-15A1B29DFB0A}">
              <asl:scriptLink xmlns:asl="http://schemas.microsoft.com/office/drawing/2021/scriptlink" val="{&quot;shareId&quot;:&quot;ms-officescript%3A%2F%2Fsharepoint_sharinglink%2Fu!aHR0cHM6Ly93Z2NwLnNoYXJlcG9pbnQuY29tLzp1Oi9zL05VVlUtQ29tZXJjaWFsL0VkQUJlM18tSFVCUHRiMVBnakU5XzdJQk9fcWk0dW1FeVQ3anNKeUs2cG9RN0E&quot;}"/>
            </a:ext>
          </a:extLst>
        </xdr:cNvPr>
        <xdr:cNvSpPr/>
      </xdr:nvSpPr>
      <xdr:spPr>
        <a:xfrm>
          <a:off x="495300" y="3181350"/>
          <a:ext cx="977900" cy="292100"/>
        </a:xfrm>
        <a:prstGeom prst="roundRect">
          <a:avLst/>
        </a:pr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FeedTotal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4</xdr:row>
      <xdr:rowOff>0</xdr:rowOff>
    </xdr:from>
    <xdr:to>
      <xdr:col>9</xdr:col>
      <xdr:colOff>482600</xdr:colOff>
      <xdr:row>5</xdr:row>
      <xdr:rowOff>130175</xdr:rowOff>
    </xdr:to>
    <xdr:sp macro="" textlink="">
      <xdr:nvSpPr>
        <xdr:cNvPr id="4" name="Rectángulo redondeado 3">
          <a:extLst>
            <a:ext uri="{FF2B5EF4-FFF2-40B4-BE49-F238E27FC236}">
              <a16:creationId xmlns:a16="http://schemas.microsoft.com/office/drawing/2014/main" id="{BED213BF-3E14-4471-98ED-545D04B8A497}"/>
            </a:ext>
            <a:ext uri="{6ECC49D1-AA05-4338-93AA-15A1B29DFB0A}">
              <asl:scriptLink xmlns:asl="http://schemas.microsoft.com/office/drawing/2021/scriptlink" val="{&quot;shareId&quot;:&quot;ms-officescript%3A%2F%2Fsharepoint_sharinglink%2Fu!aHR0cHM6Ly93Z2NwLnNoYXJlcG9pbnQuY29tLzp1Oi9zL05VVlUtQ29tZXJjaWFsL0VkbTRkZWJLX1k5R3FtOWE1Y1gxUlVvQkFDUkdTT21sNEwyZDRwVU53OFphdEE&quot;}"/>
            </a:ext>
          </a:extLst>
        </xdr:cNvPr>
        <xdr:cNvSpPr/>
      </xdr:nvSpPr>
      <xdr:spPr>
        <a:xfrm>
          <a:off x="8420100" y="657225"/>
          <a:ext cx="1739900" cy="292100"/>
        </a:xfrm>
        <a:prstGeom prst="roundRect">
          <a:avLst/>
        </a:prstGeom>
        <a:solidFill>
          <a:schemeClr val="accent1">
            <a:lumMod val="50000"/>
          </a:schemeClr>
        </a:solidFill>
        <a:ln w="12700" cap="flat" cmpd="sng" algn="ctr">
          <a:solidFill>
            <a:schemeClr val="accent1">
              <a:lumMod val="50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FeedFinance(Objetivo)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CB1DA73-DBCA-41C6-82A4-BCAC844EEE66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JHd7_iWurlblqFlbADoY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calculator.aws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94818-579E-4B7A-9B13-8432DD652980}">
  <sheetPr>
    <outlinePr summaryBelow="0" summaryRight="0"/>
  </sheetPr>
  <dimension ref="A1:L35"/>
  <sheetViews>
    <sheetView showGridLines="0" topLeftCell="A9" workbookViewId="0">
      <selection activeCell="G31" sqref="G31"/>
    </sheetView>
  </sheetViews>
  <sheetFormatPr defaultColWidth="12.5703125" defaultRowHeight="15" customHeight="1"/>
  <cols>
    <col min="1" max="1" width="3.5703125" customWidth="1"/>
    <col min="2" max="2" width="25.5703125" customWidth="1"/>
    <col min="3" max="3" width="16.5703125" customWidth="1"/>
    <col min="4" max="4" width="17.5703125" bestFit="1" customWidth="1"/>
    <col min="5" max="5" width="9.140625" customWidth="1"/>
    <col min="6" max="6" width="14.7109375" bestFit="1" customWidth="1"/>
    <col min="7" max="7" width="24.42578125" customWidth="1"/>
    <col min="8" max="8" width="14.140625" bestFit="1" customWidth="1"/>
    <col min="9" max="9" width="22.5703125" customWidth="1"/>
    <col min="10" max="11" width="18.7109375" bestFit="1" customWidth="1"/>
  </cols>
  <sheetData>
    <row r="1" spans="1:11" ht="15.75" customHeight="1">
      <c r="A1" s="1"/>
      <c r="B1" s="1"/>
      <c r="C1" s="2"/>
      <c r="D1" s="2"/>
      <c r="E1" s="1"/>
      <c r="F1" s="1"/>
      <c r="G1" s="1"/>
      <c r="H1" s="1"/>
      <c r="I1" s="1"/>
      <c r="J1" s="2"/>
    </row>
    <row r="2" spans="1:11" ht="15.75" customHeight="1">
      <c r="A2" s="1"/>
      <c r="B2" s="3" t="s">
        <v>0</v>
      </c>
      <c r="C2" s="4"/>
      <c r="D2" s="4"/>
      <c r="E2" s="3"/>
      <c r="F2" s="3"/>
      <c r="G2" s="3"/>
      <c r="H2" s="5"/>
      <c r="I2" s="4"/>
      <c r="J2" s="4"/>
    </row>
    <row r="3" spans="1:11" ht="12.75">
      <c r="A3" s="6"/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8" t="s">
        <v>6</v>
      </c>
      <c r="H3" s="8" t="s">
        <v>7</v>
      </c>
      <c r="I3" s="9" t="s">
        <v>8</v>
      </c>
      <c r="J3" s="9" t="s">
        <v>9</v>
      </c>
    </row>
    <row r="4" spans="1:11" ht="15.75" customHeight="1">
      <c r="A4" s="10"/>
      <c r="B4" s="11" t="s">
        <v>10</v>
      </c>
      <c r="C4" s="12">
        <f>'Professional Services'!H14</f>
        <v>3417.1428571428569</v>
      </c>
      <c r="D4" s="12">
        <f>C4*trm</f>
        <v>13668571.428571427</v>
      </c>
      <c r="E4" s="13">
        <v>1</v>
      </c>
      <c r="F4" s="14">
        <f t="shared" ref="F4:F9" si="0">C4*E4</f>
        <v>3417.1428571428569</v>
      </c>
      <c r="G4" s="15">
        <f>F4*trm</f>
        <v>13668571.428571427</v>
      </c>
      <c r="H4" s="16"/>
      <c r="I4" s="17">
        <v>1.23</v>
      </c>
      <c r="J4" s="18">
        <v>0.05</v>
      </c>
    </row>
    <row r="5" spans="1:11" ht="15.75" customHeight="1">
      <c r="A5" s="10"/>
      <c r="B5" s="11" t="s">
        <v>11</v>
      </c>
      <c r="C5" s="12">
        <f>VLOOKUP(H5,Cloud!B2:F5,5)</f>
        <v>1815.7877999999998</v>
      </c>
      <c r="D5" s="12">
        <f>C5*trm</f>
        <v>7263151.1999999993</v>
      </c>
      <c r="E5" s="19">
        <v>1</v>
      </c>
      <c r="F5" s="14">
        <f t="shared" si="0"/>
        <v>1815.7877999999998</v>
      </c>
      <c r="G5" s="15">
        <f>F5*trm</f>
        <v>7263151.1999999993</v>
      </c>
      <c r="H5" s="22" t="s">
        <v>12</v>
      </c>
      <c r="I5" s="23">
        <v>7.5300000000000006E-2</v>
      </c>
      <c r="J5" s="18">
        <v>0</v>
      </c>
    </row>
    <row r="6" spans="1:11" ht="15.75" customHeight="1">
      <c r="A6" s="10"/>
      <c r="B6" s="11" t="s">
        <v>13</v>
      </c>
      <c r="C6" s="12">
        <f>IFERROR('Professional Services'!H15/E6,0)</f>
        <v>0</v>
      </c>
      <c r="D6" s="12">
        <f>C6*trm</f>
        <v>0</v>
      </c>
      <c r="E6" s="19">
        <v>0</v>
      </c>
      <c r="F6" s="14">
        <f t="shared" si="0"/>
        <v>0</v>
      </c>
      <c r="G6" s="15">
        <f>F6*trm</f>
        <v>0</v>
      </c>
      <c r="H6" s="16"/>
      <c r="I6" s="20">
        <v>1.23</v>
      </c>
      <c r="J6" s="18">
        <v>0</v>
      </c>
    </row>
    <row r="7" spans="1:11" ht="15.75" customHeight="1">
      <c r="A7" s="10"/>
      <c r="B7" s="11" t="s">
        <v>14</v>
      </c>
      <c r="C7" s="21">
        <f>VLOOKUP(H7,Cloud!B2:F4,5)</f>
        <v>1815.7877999999998</v>
      </c>
      <c r="D7" s="12">
        <f>C7*trm</f>
        <v>7263151.1999999993</v>
      </c>
      <c r="E7" s="19">
        <v>0</v>
      </c>
      <c r="F7" s="14">
        <f>C7*E7</f>
        <v>0</v>
      </c>
      <c r="G7" s="15">
        <f>F7*trm</f>
        <v>0</v>
      </c>
      <c r="H7" s="22" t="s">
        <v>15</v>
      </c>
      <c r="I7" s="23">
        <v>7.5300000000000006E-2</v>
      </c>
      <c r="J7" s="18">
        <v>0</v>
      </c>
    </row>
    <row r="8" spans="1:11" ht="15.75" customHeight="1">
      <c r="A8" s="10"/>
      <c r="B8" s="11" t="s">
        <v>16</v>
      </c>
      <c r="C8" s="21">
        <f>ROUND(C18/(1+I8),0)</f>
        <v>260</v>
      </c>
      <c r="D8" s="12">
        <f>C8*trm</f>
        <v>1040000</v>
      </c>
      <c r="E8" s="19">
        <v>0</v>
      </c>
      <c r="F8" s="14">
        <f t="shared" si="0"/>
        <v>0</v>
      </c>
      <c r="G8" s="15">
        <f>F8*trm</f>
        <v>0</v>
      </c>
      <c r="H8" s="24" t="s">
        <v>17</v>
      </c>
      <c r="I8" s="25">
        <v>9</v>
      </c>
      <c r="J8" s="18">
        <v>0</v>
      </c>
    </row>
    <row r="9" spans="1:11" ht="15.75" customHeight="1">
      <c r="A9" s="26"/>
      <c r="B9" s="11" t="s">
        <v>18</v>
      </c>
      <c r="C9" s="12">
        <f>'Other Vendors'!F6</f>
        <v>0</v>
      </c>
      <c r="D9" s="12">
        <f>C9*trm</f>
        <v>0</v>
      </c>
      <c r="E9" s="13">
        <f>IF(C9&gt;0,1,0)</f>
        <v>0</v>
      </c>
      <c r="F9" s="27">
        <f t="shared" si="0"/>
        <v>0</v>
      </c>
      <c r="G9" s="28">
        <f>F9*trm</f>
        <v>0</v>
      </c>
      <c r="H9" s="29"/>
      <c r="I9" s="30">
        <f>'Other Vendors'!H6</f>
        <v>0</v>
      </c>
      <c r="J9" s="18">
        <v>0</v>
      </c>
    </row>
    <row r="10" spans="1:11" ht="15.75" customHeight="1">
      <c r="A10" s="10"/>
      <c r="B10" s="11" t="s">
        <v>19</v>
      </c>
      <c r="C10" s="31"/>
      <c r="D10" s="31"/>
      <c r="E10" s="31"/>
      <c r="F10" s="21">
        <f t="shared" ref="F10:G10" si="1">SUM(F4:F9)</f>
        <v>5232.9306571428569</v>
      </c>
      <c r="G10" s="21">
        <f t="shared" si="1"/>
        <v>20931722.628571428</v>
      </c>
      <c r="H10" s="32"/>
      <c r="I10" s="32"/>
      <c r="J10" s="33"/>
    </row>
    <row r="11" spans="1:11" ht="15.75" customHeight="1">
      <c r="A11" s="2"/>
      <c r="B11" s="2"/>
      <c r="C11" s="144"/>
      <c r="D11" s="2"/>
      <c r="E11" s="2"/>
      <c r="F11" s="2"/>
      <c r="G11" s="2"/>
      <c r="H11" s="2"/>
      <c r="I11" s="2"/>
      <c r="J11" s="2"/>
    </row>
    <row r="12" spans="1:11" ht="15.75" customHeight="1">
      <c r="A12" s="2"/>
      <c r="B12" s="1" t="s">
        <v>20</v>
      </c>
      <c r="C12" s="2"/>
      <c r="D12" s="2"/>
      <c r="E12" s="2"/>
      <c r="F12" s="2"/>
      <c r="G12" s="155"/>
      <c r="H12" s="155"/>
      <c r="I12" s="155"/>
      <c r="J12" s="2"/>
    </row>
    <row r="13" spans="1:11" ht="26.25">
      <c r="A13" s="2"/>
      <c r="B13" s="34" t="s">
        <v>1</v>
      </c>
      <c r="C13" s="34" t="s">
        <v>21</v>
      </c>
      <c r="D13" s="34" t="s">
        <v>22</v>
      </c>
      <c r="E13" s="34" t="s">
        <v>4</v>
      </c>
      <c r="F13" s="34" t="s">
        <v>23</v>
      </c>
      <c r="G13" s="34" t="s">
        <v>24</v>
      </c>
      <c r="H13" s="34" t="s">
        <v>25</v>
      </c>
      <c r="I13" s="35" t="s">
        <v>26</v>
      </c>
      <c r="J13" s="9" t="s">
        <v>27</v>
      </c>
      <c r="K13" s="9" t="s">
        <v>28</v>
      </c>
    </row>
    <row r="14" spans="1:11" ht="15.75" customHeight="1">
      <c r="A14" s="2"/>
      <c r="B14" s="36" t="s">
        <v>10</v>
      </c>
      <c r="C14" s="37">
        <f>ROUND((C4*(1+I4))*(1-J4),0)</f>
        <v>7239</v>
      </c>
      <c r="D14" s="37">
        <f>C14*trm</f>
        <v>28956000</v>
      </c>
      <c r="E14" s="19">
        <f t="shared" ref="E14:E20" si="2">E4</f>
        <v>1</v>
      </c>
      <c r="F14" s="38">
        <f t="shared" ref="F14:F19" si="3">C14*E14</f>
        <v>7239</v>
      </c>
      <c r="G14" s="39">
        <f>F14*trm</f>
        <v>28956000</v>
      </c>
      <c r="H14" s="39">
        <f>G14*0.19</f>
        <v>5501640</v>
      </c>
      <c r="I14" s="39">
        <f t="shared" ref="I14:I19" si="4">G14+H14</f>
        <v>34457640</v>
      </c>
      <c r="J14" s="40">
        <f>IFERROR(1-(F4/F14),0)</f>
        <v>0.5279537426242773</v>
      </c>
      <c r="K14" s="40">
        <f>IFERROR((G14/$G$20),0)</f>
        <v>0.78753263707571797</v>
      </c>
    </row>
    <row r="15" spans="1:11" ht="15.75" customHeight="1">
      <c r="A15" s="2"/>
      <c r="B15" s="36" t="s">
        <v>11</v>
      </c>
      <c r="C15" s="37">
        <f t="shared" ref="C14:C17" si="5">ROUND((C5*(1+I5))*(1-J5),0)</f>
        <v>1953</v>
      </c>
      <c r="D15" s="37">
        <f>C15*trm</f>
        <v>7812000</v>
      </c>
      <c r="E15" s="19">
        <f t="shared" si="2"/>
        <v>1</v>
      </c>
      <c r="F15" s="38">
        <f t="shared" si="3"/>
        <v>1953</v>
      </c>
      <c r="G15" s="39">
        <f>F15*trm</f>
        <v>7812000</v>
      </c>
      <c r="H15" s="39">
        <f>G15*0</f>
        <v>0</v>
      </c>
      <c r="I15" s="39">
        <f t="shared" si="4"/>
        <v>7812000</v>
      </c>
      <c r="J15" s="40">
        <f t="shared" ref="J14:K19" si="6">IFERROR(1-(F5/F15),0)</f>
        <v>7.0257142857142907E-2</v>
      </c>
      <c r="K15" s="40">
        <f t="shared" ref="K15:K19" si="7">IFERROR((G15/$G$20),0)</f>
        <v>0.21246736292428198</v>
      </c>
    </row>
    <row r="16" spans="1:11" ht="15.75" customHeight="1">
      <c r="A16" s="2"/>
      <c r="B16" s="36" t="s">
        <v>13</v>
      </c>
      <c r="C16" s="37">
        <f t="shared" si="5"/>
        <v>0</v>
      </c>
      <c r="D16" s="37">
        <f>C16*trm</f>
        <v>0</v>
      </c>
      <c r="E16" s="19">
        <f t="shared" si="2"/>
        <v>0</v>
      </c>
      <c r="F16" s="38">
        <f t="shared" si="3"/>
        <v>0</v>
      </c>
      <c r="G16" s="39">
        <f>F16*trm</f>
        <v>0</v>
      </c>
      <c r="H16" s="39">
        <f>G16*0.19</f>
        <v>0</v>
      </c>
      <c r="I16" s="39">
        <f t="shared" si="4"/>
        <v>0</v>
      </c>
      <c r="J16" s="40">
        <f t="shared" si="6"/>
        <v>0</v>
      </c>
      <c r="K16" s="40">
        <f t="shared" si="7"/>
        <v>0</v>
      </c>
    </row>
    <row r="17" spans="1:12" ht="15.75" customHeight="1">
      <c r="A17" s="2"/>
      <c r="B17" s="36" t="s">
        <v>14</v>
      </c>
      <c r="C17" s="37">
        <f t="shared" si="5"/>
        <v>1953</v>
      </c>
      <c r="D17" s="37">
        <f>C17*trm</f>
        <v>7812000</v>
      </c>
      <c r="E17" s="19">
        <f>E7</f>
        <v>0</v>
      </c>
      <c r="F17" s="38">
        <f t="shared" si="3"/>
        <v>0</v>
      </c>
      <c r="G17" s="39">
        <f>F17*trm</f>
        <v>0</v>
      </c>
      <c r="H17" s="39">
        <f>G17*0</f>
        <v>0</v>
      </c>
      <c r="I17" s="39">
        <f t="shared" si="4"/>
        <v>0</v>
      </c>
      <c r="J17" s="40">
        <f t="shared" si="6"/>
        <v>0</v>
      </c>
      <c r="K17" s="40">
        <f t="shared" si="7"/>
        <v>0</v>
      </c>
    </row>
    <row r="18" spans="1:12" ht="15.75" customHeight="1">
      <c r="A18" s="2"/>
      <c r="B18" s="36" t="s">
        <v>16</v>
      </c>
      <c r="C18" s="41">
        <f>ROUND((IFERROR(_xlfn.XLOOKUP(H8,'Houndoc SaaS'!A2:A7,'Houndoc SaaS'!C2:C7),0))*(1-J8),0)</f>
        <v>2600</v>
      </c>
      <c r="D18" s="41">
        <f>C18*trm</f>
        <v>10400000</v>
      </c>
      <c r="E18" s="42">
        <f t="shared" si="2"/>
        <v>0</v>
      </c>
      <c r="F18" s="38">
        <f t="shared" si="3"/>
        <v>0</v>
      </c>
      <c r="G18" s="39">
        <f>F18*trm</f>
        <v>0</v>
      </c>
      <c r="H18" s="39">
        <v>0</v>
      </c>
      <c r="I18" s="39">
        <f t="shared" si="4"/>
        <v>0</v>
      </c>
      <c r="J18" s="40">
        <f t="shared" si="6"/>
        <v>0</v>
      </c>
      <c r="K18" s="40">
        <f t="shared" si="7"/>
        <v>0</v>
      </c>
    </row>
    <row r="19" spans="1:12" ht="15.75" customHeight="1">
      <c r="A19" s="2"/>
      <c r="B19" s="36" t="s">
        <v>18</v>
      </c>
      <c r="C19" s="41">
        <f>ROUND((C9*(1+I9))*(1-J9),0)</f>
        <v>0</v>
      </c>
      <c r="D19" s="41">
        <f>C19*trm</f>
        <v>0</v>
      </c>
      <c r="E19" s="42">
        <f t="shared" si="2"/>
        <v>0</v>
      </c>
      <c r="F19" s="38">
        <f t="shared" si="3"/>
        <v>0</v>
      </c>
      <c r="G19" s="39">
        <f>F19*trm</f>
        <v>0</v>
      </c>
      <c r="H19" s="39">
        <f>'Other Vendors'!L6*trm</f>
        <v>0</v>
      </c>
      <c r="I19" s="39">
        <f>G19+H19</f>
        <v>0</v>
      </c>
      <c r="J19" s="40">
        <f t="shared" si="6"/>
        <v>0</v>
      </c>
      <c r="K19" s="40">
        <f t="shared" si="7"/>
        <v>0</v>
      </c>
    </row>
    <row r="20" spans="1:12" ht="15.75" customHeight="1">
      <c r="A20" s="2"/>
      <c r="B20" s="43" t="s">
        <v>19</v>
      </c>
      <c r="C20" s="44"/>
      <c r="D20" s="44"/>
      <c r="E20" s="45">
        <f t="shared" si="2"/>
        <v>0</v>
      </c>
      <c r="F20" s="46">
        <f t="shared" ref="F20:I20" si="8">SUM(F14:F19)</f>
        <v>9192</v>
      </c>
      <c r="G20" s="47">
        <f t="shared" si="8"/>
        <v>36768000</v>
      </c>
      <c r="H20" s="47">
        <f t="shared" si="8"/>
        <v>5501640</v>
      </c>
      <c r="I20" s="47">
        <f t="shared" si="8"/>
        <v>42269640</v>
      </c>
      <c r="J20" s="48">
        <f>1-(F10/F20)</f>
        <v>0.43070815305234367</v>
      </c>
      <c r="K20" s="40">
        <f>SUM(K14:K19)</f>
        <v>1</v>
      </c>
    </row>
    <row r="21" spans="1:12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2" ht="15.75" customHeight="1">
      <c r="A22" s="2"/>
      <c r="B22" s="1" t="s">
        <v>29</v>
      </c>
      <c r="C22" s="2"/>
      <c r="D22" s="2"/>
      <c r="E22" s="2"/>
      <c r="F22" s="2"/>
      <c r="G22" s="2"/>
      <c r="H22" s="2"/>
      <c r="I22" s="2"/>
      <c r="J22" s="2"/>
    </row>
    <row r="23" spans="1:12" ht="26.25">
      <c r="A23" s="2"/>
      <c r="B23" s="34" t="s">
        <v>1</v>
      </c>
      <c r="C23" s="34" t="s">
        <v>30</v>
      </c>
      <c r="D23" s="34" t="s">
        <v>31</v>
      </c>
      <c r="E23" s="34" t="s">
        <v>4</v>
      </c>
      <c r="F23" s="34" t="s">
        <v>32</v>
      </c>
      <c r="G23" s="34" t="s">
        <v>24</v>
      </c>
      <c r="H23" s="34" t="s">
        <v>25</v>
      </c>
      <c r="I23" s="35" t="s">
        <v>26</v>
      </c>
      <c r="J23" s="49"/>
    </row>
    <row r="24" spans="1:12" ht="15.75" customHeight="1">
      <c r="A24" s="2"/>
      <c r="B24" s="50" t="s">
        <v>10</v>
      </c>
      <c r="C24" s="51">
        <f t="shared" ref="C24:I24" si="9">C14</f>
        <v>7239</v>
      </c>
      <c r="D24" s="51">
        <f t="shared" si="9"/>
        <v>28956000</v>
      </c>
      <c r="E24" s="152">
        <f t="shared" si="9"/>
        <v>1</v>
      </c>
      <c r="F24" s="51">
        <f>F14</f>
        <v>7239</v>
      </c>
      <c r="G24" s="51">
        <f t="shared" si="9"/>
        <v>28956000</v>
      </c>
      <c r="H24" s="51">
        <f>H14</f>
        <v>5501640</v>
      </c>
      <c r="I24" s="51">
        <f t="shared" si="9"/>
        <v>34457640</v>
      </c>
      <c r="J24" s="2"/>
    </row>
    <row r="25" spans="1:12" ht="15.75" customHeight="1">
      <c r="A25" s="2"/>
      <c r="B25" s="50" t="s">
        <v>11</v>
      </c>
      <c r="C25" s="51">
        <f>C15</f>
        <v>1953</v>
      </c>
      <c r="D25" s="51">
        <f>D15</f>
        <v>7812000</v>
      </c>
      <c r="E25" s="153">
        <f>E5</f>
        <v>1</v>
      </c>
      <c r="F25" s="51">
        <f>F15</f>
        <v>1953</v>
      </c>
      <c r="G25" s="51">
        <f>G15</f>
        <v>7812000</v>
      </c>
      <c r="H25" s="51">
        <v>0</v>
      </c>
      <c r="I25" s="51">
        <f>I15</f>
        <v>7812000</v>
      </c>
      <c r="J25" s="2"/>
    </row>
    <row r="26" spans="1:12" ht="15.75" customHeight="1">
      <c r="A26" s="2"/>
      <c r="B26" s="43" t="s">
        <v>19</v>
      </c>
      <c r="C26" s="44"/>
      <c r="D26" s="54"/>
      <c r="E26" s="55"/>
      <c r="F26" s="56">
        <f t="shared" ref="F26:I26" si="10">SUM(F24:F25)</f>
        <v>9192</v>
      </c>
      <c r="G26" s="56">
        <f t="shared" si="10"/>
        <v>36768000</v>
      </c>
      <c r="H26" s="56">
        <f t="shared" si="10"/>
        <v>5501640</v>
      </c>
      <c r="I26" s="56">
        <f t="shared" si="10"/>
        <v>42269640</v>
      </c>
      <c r="J26" s="2"/>
    </row>
    <row r="27" spans="1:12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2" ht="15.75" customHeight="1">
      <c r="A28" s="2"/>
      <c r="B28" s="1" t="s">
        <v>33</v>
      </c>
      <c r="C28" s="2"/>
      <c r="D28" s="2"/>
      <c r="E28" s="2"/>
      <c r="F28" s="2"/>
      <c r="G28" s="2"/>
      <c r="H28" s="2"/>
      <c r="I28" s="2"/>
      <c r="J28" s="2"/>
      <c r="L28" s="193"/>
    </row>
    <row r="29" spans="1:12" ht="26.25">
      <c r="A29" s="2"/>
      <c r="B29" s="34" t="s">
        <v>1</v>
      </c>
      <c r="C29" s="34" t="s">
        <v>21</v>
      </c>
      <c r="D29" s="34" t="s">
        <v>22</v>
      </c>
      <c r="E29" s="34" t="s">
        <v>4</v>
      </c>
      <c r="F29" s="34" t="s">
        <v>32</v>
      </c>
      <c r="G29" s="34" t="s">
        <v>34</v>
      </c>
      <c r="H29" s="34" t="s">
        <v>25</v>
      </c>
      <c r="I29" s="35" t="s">
        <v>26</v>
      </c>
      <c r="J29" s="2"/>
    </row>
    <row r="30" spans="1:12" ht="15.75" customHeight="1">
      <c r="A30" s="2"/>
      <c r="B30" s="57" t="s">
        <v>13</v>
      </c>
      <c r="C30" s="53">
        <f t="shared" ref="C30:I33" si="11">C16</f>
        <v>0</v>
      </c>
      <c r="D30" s="53">
        <f t="shared" si="11"/>
        <v>0</v>
      </c>
      <c r="E30" s="58">
        <f t="shared" si="11"/>
        <v>0</v>
      </c>
      <c r="F30" s="53">
        <f t="shared" si="11"/>
        <v>0</v>
      </c>
      <c r="G30" s="53">
        <f t="shared" si="11"/>
        <v>0</v>
      </c>
      <c r="H30" s="53">
        <f>H16</f>
        <v>0</v>
      </c>
      <c r="I30" s="53">
        <f t="shared" si="11"/>
        <v>0</v>
      </c>
      <c r="J30" s="2"/>
    </row>
    <row r="31" spans="1:12" ht="15.75" customHeight="1">
      <c r="A31" s="2"/>
      <c r="B31" s="36" t="s">
        <v>14</v>
      </c>
      <c r="C31" s="53">
        <f>C17</f>
        <v>1953</v>
      </c>
      <c r="D31" s="53">
        <f t="shared" si="11"/>
        <v>7812000</v>
      </c>
      <c r="E31" s="58">
        <f t="shared" si="11"/>
        <v>0</v>
      </c>
      <c r="F31" s="53">
        <f t="shared" si="11"/>
        <v>0</v>
      </c>
      <c r="G31" s="53">
        <f>G17</f>
        <v>0</v>
      </c>
      <c r="H31" s="53">
        <f t="shared" si="11"/>
        <v>0</v>
      </c>
      <c r="I31" s="53">
        <f t="shared" si="11"/>
        <v>0</v>
      </c>
      <c r="J31" s="2"/>
    </row>
    <row r="32" spans="1:12" ht="15.75" customHeight="1">
      <c r="A32" s="2"/>
      <c r="B32" s="50" t="s">
        <v>16</v>
      </c>
      <c r="C32" s="51">
        <f t="shared" si="11"/>
        <v>2600</v>
      </c>
      <c r="D32" s="51">
        <f t="shared" si="11"/>
        <v>10400000</v>
      </c>
      <c r="E32" s="52">
        <f t="shared" si="11"/>
        <v>0</v>
      </c>
      <c r="F32" s="53">
        <f t="shared" si="11"/>
        <v>0</v>
      </c>
      <c r="G32" s="53">
        <f t="shared" si="11"/>
        <v>0</v>
      </c>
      <c r="H32" s="53">
        <f t="shared" si="11"/>
        <v>0</v>
      </c>
      <c r="I32" s="53">
        <f t="shared" si="11"/>
        <v>0</v>
      </c>
      <c r="J32" s="2"/>
    </row>
    <row r="33" spans="1:10" ht="15.75" customHeight="1">
      <c r="A33" s="2"/>
      <c r="B33" s="36" t="s">
        <v>18</v>
      </c>
      <c r="C33" s="51">
        <f t="shared" si="11"/>
        <v>0</v>
      </c>
      <c r="D33" s="51">
        <f t="shared" si="11"/>
        <v>0</v>
      </c>
      <c r="E33" s="52">
        <f t="shared" si="11"/>
        <v>0</v>
      </c>
      <c r="F33" s="53">
        <f t="shared" si="11"/>
        <v>0</v>
      </c>
      <c r="G33" s="53">
        <f t="shared" si="11"/>
        <v>0</v>
      </c>
      <c r="H33" s="53">
        <f>H19</f>
        <v>0</v>
      </c>
      <c r="I33" s="53">
        <f t="shared" si="11"/>
        <v>0</v>
      </c>
      <c r="J33" s="2"/>
    </row>
    <row r="34" spans="1:10" ht="15.75" customHeight="1">
      <c r="A34" s="2"/>
      <c r="B34" s="43" t="s">
        <v>19</v>
      </c>
      <c r="C34" s="54"/>
      <c r="D34" s="54"/>
      <c r="E34" s="59"/>
      <c r="F34" s="60">
        <f t="shared" ref="F34:I34" si="12">SUM(F30:F33)</f>
        <v>0</v>
      </c>
      <c r="G34" s="61">
        <f t="shared" si="12"/>
        <v>0</v>
      </c>
      <c r="H34" s="61">
        <f t="shared" si="12"/>
        <v>0</v>
      </c>
      <c r="I34" s="61">
        <f t="shared" si="12"/>
        <v>0</v>
      </c>
      <c r="J34" s="2"/>
    </row>
    <row r="35" spans="1:10" ht="15.75" customHeight="1">
      <c r="A35" s="2"/>
      <c r="B35" s="10"/>
      <c r="C35" s="62"/>
      <c r="D35" s="62"/>
      <c r="E35" s="62"/>
      <c r="F35" s="62"/>
      <c r="G35" s="62"/>
      <c r="H35" s="2"/>
      <c r="I35" s="2"/>
      <c r="J35" s="2"/>
    </row>
  </sheetData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6E11320B-FF8E-4BE1-9146-1CF20C8D9CF1}">
          <x14:formula1>
            <xm:f>'Houndoc SaaS'!$A$2:$A$7</xm:f>
          </x14:formula1>
          <xm:sqref>H8</xm:sqref>
        </x14:dataValidation>
        <x14:dataValidation type="list" allowBlank="1" showErrorMessage="1" xr:uid="{A97252C4-705A-49D9-B1C2-005213FC158D}">
          <x14:formula1>
            <xm:f>Cloud!$B$2:$B$4</xm:f>
          </x14:formula1>
          <xm:sqref>H7 H5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F4BF-5171-42E6-9567-E0DF045E3263}">
  <sheetPr>
    <outlinePr summaryBelow="0" summaryRight="0"/>
  </sheetPr>
  <dimension ref="A1:H26"/>
  <sheetViews>
    <sheetView showGridLines="0" workbookViewId="0">
      <selection activeCell="D2" sqref="D2"/>
    </sheetView>
  </sheetViews>
  <sheetFormatPr defaultColWidth="12.5703125" defaultRowHeight="15" customHeight="1"/>
  <cols>
    <col min="1" max="1" width="19.85546875" customWidth="1"/>
    <col min="2" max="2" width="15.7109375" customWidth="1"/>
    <col min="3" max="3" width="9.140625"/>
    <col min="4" max="4" width="18.7109375" customWidth="1"/>
    <col min="5" max="5" width="14.85546875" customWidth="1"/>
    <col min="6" max="6" width="14.42578125" customWidth="1"/>
  </cols>
  <sheetData>
    <row r="1" spans="1:8" ht="26.25">
      <c r="A1" s="34" t="s">
        <v>1</v>
      </c>
      <c r="B1" s="34" t="s">
        <v>35</v>
      </c>
      <c r="C1" s="34" t="s">
        <v>4</v>
      </c>
      <c r="D1" s="34" t="s">
        <v>36</v>
      </c>
      <c r="E1" s="34" t="s">
        <v>25</v>
      </c>
      <c r="F1" s="35" t="s">
        <v>26</v>
      </c>
    </row>
    <row r="2" spans="1:8" ht="13.5">
      <c r="A2" s="36" t="s">
        <v>10</v>
      </c>
      <c r="B2" s="37">
        <f>Total!D14</f>
        <v>28956000</v>
      </c>
      <c r="C2" s="122">
        <f>Total!E14</f>
        <v>1</v>
      </c>
      <c r="D2" s="37">
        <f>Total!G14</f>
        <v>28956000</v>
      </c>
      <c r="E2" s="37">
        <f>Total!H14</f>
        <v>5501640</v>
      </c>
      <c r="F2" s="37">
        <f>Total!I14</f>
        <v>34457640</v>
      </c>
    </row>
    <row r="3" spans="1:8" ht="13.5">
      <c r="A3" s="36" t="s">
        <v>37</v>
      </c>
      <c r="B3" s="37">
        <f>Total!D15</f>
        <v>7812000</v>
      </c>
      <c r="C3" s="122">
        <f>Total!E15</f>
        <v>1</v>
      </c>
      <c r="D3" s="37">
        <f>Total!I15</f>
        <v>7812000</v>
      </c>
      <c r="E3" s="37">
        <f>Total!H15</f>
        <v>0</v>
      </c>
      <c r="F3" s="37">
        <f>Total!I15</f>
        <v>7812000</v>
      </c>
    </row>
    <row r="4" spans="1:8" ht="13.5">
      <c r="A4" s="36" t="s">
        <v>13</v>
      </c>
      <c r="B4" s="37">
        <f>Total!D16</f>
        <v>0</v>
      </c>
      <c r="C4" s="122">
        <f>Total!E16</f>
        <v>0</v>
      </c>
      <c r="D4" s="37">
        <f>Total!G16</f>
        <v>0</v>
      </c>
      <c r="E4" s="37">
        <f>Total!H16</f>
        <v>0</v>
      </c>
      <c r="F4" s="37">
        <f>Total!I16</f>
        <v>0</v>
      </c>
    </row>
    <row r="5" spans="1:8" ht="13.5">
      <c r="A5" s="36" t="s">
        <v>14</v>
      </c>
      <c r="B5" s="37">
        <f>Total!D17</f>
        <v>7812000</v>
      </c>
      <c r="C5" s="122">
        <f>Total!E17</f>
        <v>0</v>
      </c>
      <c r="D5" s="37">
        <f>Total!G17</f>
        <v>0</v>
      </c>
      <c r="E5" s="37">
        <f>Total!H17</f>
        <v>0</v>
      </c>
      <c r="F5" s="37">
        <f>Total!I17</f>
        <v>0</v>
      </c>
    </row>
    <row r="6" spans="1:8" ht="13.5">
      <c r="A6" s="36" t="s">
        <v>16</v>
      </c>
      <c r="B6" s="37">
        <f>Total!D18</f>
        <v>10400000</v>
      </c>
      <c r="C6" s="122">
        <f>Total!E18</f>
        <v>0</v>
      </c>
      <c r="D6" s="37">
        <f>Total!G18</f>
        <v>0</v>
      </c>
      <c r="E6" s="37">
        <f>Total!H18</f>
        <v>0</v>
      </c>
      <c r="F6" s="37">
        <f>Total!I18</f>
        <v>0</v>
      </c>
    </row>
    <row r="7" spans="1:8" ht="13.5">
      <c r="A7" s="36" t="s">
        <v>18</v>
      </c>
      <c r="B7" s="37">
        <f>Total!D19</f>
        <v>0</v>
      </c>
      <c r="C7" s="122">
        <f>Total!E19</f>
        <v>0</v>
      </c>
      <c r="D7" s="37">
        <f>Total!G19</f>
        <v>0</v>
      </c>
      <c r="E7" s="37">
        <f>Total!H19</f>
        <v>0</v>
      </c>
      <c r="F7" s="37">
        <f>Total!I19</f>
        <v>0</v>
      </c>
    </row>
    <row r="8" spans="1:8" ht="13.5">
      <c r="A8" s="43" t="s">
        <v>19</v>
      </c>
      <c r="B8" s="44"/>
      <c r="C8" s="45"/>
      <c r="D8" s="47">
        <f t="shared" ref="D8:F8" si="0">SUM(D2:D7)</f>
        <v>36768000</v>
      </c>
      <c r="E8" s="47">
        <f t="shared" si="0"/>
        <v>5501640</v>
      </c>
      <c r="F8" s="47">
        <f t="shared" si="0"/>
        <v>42269640</v>
      </c>
    </row>
    <row r="12" spans="1:8" ht="12.75">
      <c r="A12" s="1" t="str">
        <f>Total!B22</f>
        <v>CAPEX</v>
      </c>
      <c r="B12" s="2"/>
      <c r="C12" s="2"/>
      <c r="D12" s="2"/>
      <c r="E12" s="2"/>
      <c r="F12" s="2"/>
      <c r="G12" s="2"/>
      <c r="H12" s="2"/>
    </row>
    <row r="13" spans="1:8" ht="26.25" customHeight="1">
      <c r="A13" s="34" t="str">
        <f>Total!B23</f>
        <v>Item</v>
      </c>
      <c r="B13" s="34" t="str">
        <f>Total!D23</f>
        <v>Valor
Unitario COP</v>
      </c>
      <c r="C13" s="34" t="str">
        <f>Total!E23</f>
        <v>Cantidad</v>
      </c>
      <c r="D13" s="34" t="str">
        <f>Total!G23</f>
        <v>Valor
Total COP</v>
      </c>
      <c r="E13" s="34" t="str">
        <f>Total!H23</f>
        <v>IVA</v>
      </c>
      <c r="F13" s="35" t="str">
        <f>Total!I23</f>
        <v>Valor Total
con IVA</v>
      </c>
    </row>
    <row r="14" spans="1:8" ht="15" customHeight="1">
      <c r="A14" s="50" t="str">
        <f>Total!B24</f>
        <v>Implementación</v>
      </c>
      <c r="B14" s="51">
        <f>Total!D24</f>
        <v>28956000</v>
      </c>
      <c r="C14" s="152">
        <f>Total!E24</f>
        <v>1</v>
      </c>
      <c r="D14" s="51">
        <f>Total!G24</f>
        <v>28956000</v>
      </c>
      <c r="E14" s="51">
        <f>Total!H24</f>
        <v>5501640</v>
      </c>
      <c r="F14" s="51">
        <f>Total!I24</f>
        <v>34457640</v>
      </c>
    </row>
    <row r="15" spans="1:8" ht="15" customHeight="1">
      <c r="A15" s="50" t="str">
        <f>Total!B25</f>
        <v xml:space="preserve">Cloud Implementación </v>
      </c>
      <c r="B15" s="51">
        <f>Total!D25</f>
        <v>7812000</v>
      </c>
      <c r="C15" s="152">
        <f>Total!E25</f>
        <v>1</v>
      </c>
      <c r="D15" s="51">
        <f>Total!G25</f>
        <v>7812000</v>
      </c>
      <c r="E15" s="51">
        <f>Total!H25</f>
        <v>0</v>
      </c>
      <c r="F15" s="51">
        <f>Total!I25</f>
        <v>7812000</v>
      </c>
    </row>
    <row r="16" spans="1:8" ht="15" customHeight="1">
      <c r="A16" s="43" t="str">
        <f>Total!B26</f>
        <v>Total</v>
      </c>
      <c r="B16" s="44"/>
      <c r="C16" s="54"/>
      <c r="D16" s="56">
        <f>SUM(D14:D15)</f>
        <v>36768000</v>
      </c>
      <c r="E16" s="56">
        <f t="shared" ref="E16:F16" si="1">SUM(E14:E15)</f>
        <v>5501640</v>
      </c>
      <c r="F16" s="56">
        <f t="shared" si="1"/>
        <v>42269640</v>
      </c>
    </row>
    <row r="20" spans="1:8" ht="15" customHeight="1">
      <c r="A20" s="1" t="str">
        <f>Total!B28</f>
        <v>OPEX</v>
      </c>
      <c r="B20" s="2"/>
      <c r="C20" s="2"/>
      <c r="D20" s="2"/>
      <c r="E20" s="2"/>
      <c r="F20" s="2"/>
      <c r="G20" s="2"/>
      <c r="H20" s="2"/>
    </row>
    <row r="21" spans="1:8" ht="26.25" customHeight="1">
      <c r="A21" s="34" t="str">
        <f>Total!B29</f>
        <v>Item</v>
      </c>
      <c r="B21" s="34" t="str">
        <f>Total!D29</f>
        <v>Valor 
Unitario COP</v>
      </c>
      <c r="C21" s="34" t="str">
        <f>Total!E29</f>
        <v>Cantidad</v>
      </c>
      <c r="D21" s="34" t="str">
        <f>Total!G29</f>
        <v xml:space="preserve">
Valor
Total COP</v>
      </c>
      <c r="E21" s="34" t="str">
        <f>Total!H29</f>
        <v>IVA</v>
      </c>
      <c r="F21" s="35" t="str">
        <f>Total!I29</f>
        <v>Valor Total
con IVA</v>
      </c>
    </row>
    <row r="22" spans="1:8" ht="15" customHeight="1">
      <c r="A22" s="57" t="str">
        <f>Total!B30</f>
        <v>Operación</v>
      </c>
      <c r="B22" s="53">
        <f>Total!D30</f>
        <v>0</v>
      </c>
      <c r="C22" s="58">
        <f>Total!E30</f>
        <v>0</v>
      </c>
      <c r="D22" s="53">
        <f>Total!G30</f>
        <v>0</v>
      </c>
      <c r="E22" s="53">
        <f>Total!H30</f>
        <v>0</v>
      </c>
      <c r="F22" s="53">
        <f>Total!I30</f>
        <v>0</v>
      </c>
    </row>
    <row r="23" spans="1:8" ht="15" customHeight="1">
      <c r="A23" s="36" t="str">
        <f>Total!B31</f>
        <v>Cloud Operación</v>
      </c>
      <c r="B23" s="53">
        <f>Total!D31</f>
        <v>7812000</v>
      </c>
      <c r="C23" s="58">
        <f>Total!E31</f>
        <v>0</v>
      </c>
      <c r="D23" s="53">
        <f>Total!G31</f>
        <v>0</v>
      </c>
      <c r="E23" s="53">
        <f>Total!H31</f>
        <v>0</v>
      </c>
      <c r="F23" s="53">
        <f>Total!I31</f>
        <v>0</v>
      </c>
    </row>
    <row r="24" spans="1:8" ht="15" customHeight="1">
      <c r="A24" s="50" t="str">
        <f>Total!B32</f>
        <v>Houndoc SaaS</v>
      </c>
      <c r="B24" s="51">
        <f>Total!D32</f>
        <v>10400000</v>
      </c>
      <c r="C24" s="52">
        <f>Total!E32</f>
        <v>0</v>
      </c>
      <c r="D24" s="53">
        <f>Total!G32</f>
        <v>0</v>
      </c>
      <c r="E24" s="53">
        <f>Total!H32</f>
        <v>0</v>
      </c>
      <c r="F24" s="53">
        <f>Total!I32</f>
        <v>0</v>
      </c>
    </row>
    <row r="25" spans="1:8" ht="15" customHeight="1">
      <c r="A25" s="36" t="str">
        <f>Total!B33</f>
        <v>Otros Vendors</v>
      </c>
      <c r="B25" s="51">
        <f>Total!D33</f>
        <v>0</v>
      </c>
      <c r="C25" s="52">
        <f>Total!E33</f>
        <v>0</v>
      </c>
      <c r="D25" s="53">
        <f>Total!G33</f>
        <v>0</v>
      </c>
      <c r="E25" s="53">
        <f>Total!H33</f>
        <v>0</v>
      </c>
      <c r="F25" s="53">
        <f>Total!I33</f>
        <v>0</v>
      </c>
    </row>
    <row r="26" spans="1:8" ht="15" customHeight="1">
      <c r="A26" s="43" t="str">
        <f>Total!B34</f>
        <v>Total</v>
      </c>
      <c r="B26" s="54"/>
      <c r="C26" s="54"/>
      <c r="D26" s="60">
        <f>SUM(D22:D25)</f>
        <v>0</v>
      </c>
      <c r="E26" s="60">
        <f t="shared" ref="E26:F26" si="2">SUM(E22:E25)</f>
        <v>0</v>
      </c>
      <c r="F26" s="60">
        <f t="shared" si="2"/>
        <v>0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19"/>
  <sheetViews>
    <sheetView showGridLines="0" workbookViewId="0">
      <selection activeCell="C4" sqref="C4"/>
    </sheetView>
  </sheetViews>
  <sheetFormatPr defaultColWidth="12.5703125" defaultRowHeight="15" customHeight="1"/>
  <cols>
    <col min="1" max="1" width="51.5703125" customWidth="1"/>
    <col min="2" max="12" width="9" customWidth="1"/>
  </cols>
  <sheetData>
    <row r="1" spans="1:15" ht="19.5" customHeight="1">
      <c r="A1" s="112" t="s">
        <v>38</v>
      </c>
      <c r="B1" s="112" t="s">
        <v>39</v>
      </c>
      <c r="C1" s="112" t="s">
        <v>40</v>
      </c>
      <c r="D1" s="112" t="s">
        <v>41</v>
      </c>
      <c r="E1" s="112" t="s">
        <v>42</v>
      </c>
      <c r="F1" s="112" t="s">
        <v>43</v>
      </c>
      <c r="G1" s="112" t="s">
        <v>44</v>
      </c>
      <c r="H1" s="112" t="s">
        <v>45</v>
      </c>
      <c r="I1" s="112" t="s">
        <v>46</v>
      </c>
      <c r="J1" s="112" t="s">
        <v>47</v>
      </c>
      <c r="K1" s="112" t="s">
        <v>48</v>
      </c>
      <c r="L1" s="112" t="s">
        <v>49</v>
      </c>
      <c r="M1" s="112" t="s">
        <v>50</v>
      </c>
      <c r="N1" s="112" t="s">
        <v>51</v>
      </c>
      <c r="O1" s="112" t="s">
        <v>52</v>
      </c>
    </row>
    <row r="2" spans="1:15" ht="18.75">
      <c r="A2" s="113" t="s">
        <v>53</v>
      </c>
      <c r="B2" s="114">
        <v>1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</row>
    <row r="3" spans="1:15" ht="18.75">
      <c r="A3" s="113" t="s">
        <v>54</v>
      </c>
      <c r="B3" s="114">
        <v>1</v>
      </c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</row>
    <row r="4" spans="1:15" ht="37.5">
      <c r="A4" s="113" t="s">
        <v>55</v>
      </c>
      <c r="B4" s="114">
        <v>1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</row>
    <row r="5" spans="1:15" ht="18.75">
      <c r="A5" s="113" t="s">
        <v>56</v>
      </c>
      <c r="B5" s="114">
        <v>1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</row>
    <row r="6" spans="1:15" ht="18.75">
      <c r="A6" s="113" t="s">
        <v>57</v>
      </c>
      <c r="B6" s="114">
        <v>1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</row>
    <row r="7" spans="1:15" ht="18.75">
      <c r="A7" s="113" t="s">
        <v>58</v>
      </c>
      <c r="B7" s="114">
        <v>1</v>
      </c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</row>
    <row r="8" spans="1:15" ht="18.75">
      <c r="A8" s="113" t="s">
        <v>59</v>
      </c>
      <c r="B8" s="114">
        <v>1</v>
      </c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</row>
    <row r="9" spans="1:15" ht="18.75">
      <c r="A9" s="113" t="s">
        <v>60</v>
      </c>
      <c r="B9" s="114">
        <v>1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</row>
    <row r="10" spans="1:15" ht="18.75">
      <c r="A10" s="113" t="s">
        <v>61</v>
      </c>
      <c r="B10" s="114">
        <v>1</v>
      </c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</row>
    <row r="11" spans="1:15" ht="18.75">
      <c r="A11" s="113" t="s">
        <v>62</v>
      </c>
      <c r="B11" s="114">
        <v>1</v>
      </c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</row>
    <row r="12" spans="1:15" ht="18.75">
      <c r="A12" s="113" t="s">
        <v>63</v>
      </c>
      <c r="B12" s="114">
        <v>4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</row>
    <row r="13" spans="1:15" ht="18.75">
      <c r="A13" s="113" t="s">
        <v>64</v>
      </c>
      <c r="B13" s="114">
        <v>5</v>
      </c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</row>
    <row r="15" spans="1:15" ht="15" customHeight="1">
      <c r="A15" s="132" t="s">
        <v>65</v>
      </c>
    </row>
    <row r="16" spans="1:15" ht="15" customHeight="1">
      <c r="A16" s="133" t="s">
        <v>66</v>
      </c>
    </row>
    <row r="17" spans="1:1" ht="15" customHeight="1">
      <c r="A17" s="134" t="s">
        <v>67</v>
      </c>
    </row>
    <row r="18" spans="1:1" ht="15" customHeight="1">
      <c r="A18" s="135" t="s">
        <v>68</v>
      </c>
    </row>
    <row r="19" spans="1:1" ht="15" customHeight="1">
      <c r="A19" s="168" t="s">
        <v>69</v>
      </c>
    </row>
  </sheetData>
  <conditionalFormatting sqref="A14:A18 C14:AN14 D15:AN15 E16:AN16 D17:AN18 A19:AN65 A1:AN13">
    <cfRule type="cellIs" dxfId="22" priority="4" operator="equal">
      <formula>1</formula>
    </cfRule>
  </conditionalFormatting>
  <conditionalFormatting sqref="A14:A18 C14:AN14 D15:AN15 E16:AN16 D17:AN18 A19:AN65 A1:AN13">
    <cfRule type="cellIs" dxfId="21" priority="5" operator="equal">
      <formula>2</formula>
    </cfRule>
  </conditionalFormatting>
  <conditionalFormatting sqref="A14:A18 C14:AN14 D15:AN15 E16:AN16 D17:AN18 A19:AN65 A1:AN13">
    <cfRule type="cellIs" dxfId="20" priority="3" operator="equal">
      <formula>3</formula>
    </cfRule>
  </conditionalFormatting>
  <conditionalFormatting sqref="A14:A18 C14:AN14 D15:AN15 E16:AN16 D17:AN18 A19:AN65 A1:AN13">
    <cfRule type="cellIs" dxfId="19" priority="2" operator="equal">
      <formula>4</formula>
    </cfRule>
  </conditionalFormatting>
  <conditionalFormatting sqref="A2:XFD60">
    <cfRule type="cellIs" dxfId="18" priority="1" operator="equal">
      <formula>5</formula>
    </cfRule>
  </conditionalFormatting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C02DA-A94D-4118-B56E-F7D28B7CCD63}">
  <dimension ref="A1:U19"/>
  <sheetViews>
    <sheetView workbookViewId="0">
      <selection activeCell="T4" sqref="T4"/>
    </sheetView>
  </sheetViews>
  <sheetFormatPr defaultRowHeight="12.75"/>
  <cols>
    <col min="1" max="1" width="61.42578125" customWidth="1"/>
    <col min="11" max="11" width="14.42578125" bestFit="1" customWidth="1"/>
    <col min="12" max="12" width="23.42578125" bestFit="1" customWidth="1"/>
    <col min="13" max="13" width="82.7109375" bestFit="1" customWidth="1"/>
    <col min="14" max="14" width="15.140625" bestFit="1" customWidth="1"/>
    <col min="15" max="15" width="11" bestFit="1" customWidth="1"/>
    <col min="16" max="16" width="10" bestFit="1" customWidth="1"/>
    <col min="17" max="17" width="19.140625" bestFit="1" customWidth="1"/>
    <col min="18" max="18" width="10.85546875" bestFit="1" customWidth="1"/>
    <col min="19" max="19" width="14.140625" bestFit="1" customWidth="1"/>
    <col min="20" max="21" width="16" bestFit="1" customWidth="1"/>
  </cols>
  <sheetData>
    <row r="1" spans="1:21" ht="18.75">
      <c r="A1" s="112" t="s">
        <v>38</v>
      </c>
      <c r="B1" s="112" t="s">
        <v>70</v>
      </c>
      <c r="C1" s="112" t="s">
        <v>71</v>
      </c>
      <c r="D1" s="112" t="s">
        <v>72</v>
      </c>
      <c r="E1" s="112" t="s">
        <v>73</v>
      </c>
    </row>
    <row r="2" spans="1:21" ht="18.75">
      <c r="A2" s="113" t="s">
        <v>53</v>
      </c>
      <c r="B2" s="114">
        <v>1</v>
      </c>
      <c r="C2" s="114"/>
      <c r="D2" s="114"/>
      <c r="E2" s="114"/>
    </row>
    <row r="3" spans="1:21" ht="18.75">
      <c r="A3" s="113" t="s">
        <v>54</v>
      </c>
      <c r="B3" s="114">
        <v>1</v>
      </c>
      <c r="C3" s="114"/>
      <c r="D3" s="114"/>
      <c r="E3" s="114"/>
      <c r="K3" s="198" t="s">
        <v>74</v>
      </c>
      <c r="L3" s="198" t="s">
        <v>75</v>
      </c>
      <c r="M3" s="198" t="s">
        <v>76</v>
      </c>
      <c r="N3" s="198" t="s">
        <v>77</v>
      </c>
      <c r="O3" s="198" t="s">
        <v>78</v>
      </c>
      <c r="P3" s="198" t="s">
        <v>79</v>
      </c>
      <c r="Q3" s="198" t="s">
        <v>80</v>
      </c>
      <c r="R3" s="198" t="s">
        <v>81</v>
      </c>
      <c r="S3" s="198" t="s">
        <v>82</v>
      </c>
      <c r="T3" s="198" t="s">
        <v>83</v>
      </c>
      <c r="U3" s="198" t="s">
        <v>84</v>
      </c>
    </row>
    <row r="4" spans="1:21" ht="18.75" customHeight="1">
      <c r="A4" s="113" t="s">
        <v>55</v>
      </c>
      <c r="B4" s="114"/>
      <c r="C4" s="114">
        <v>1</v>
      </c>
      <c r="D4" s="114"/>
      <c r="E4" s="114"/>
      <c r="K4" s="199" t="s">
        <v>10</v>
      </c>
      <c r="L4" s="199" t="s">
        <v>56</v>
      </c>
      <c r="M4" s="199" t="s">
        <v>85</v>
      </c>
      <c r="N4" s="199" t="s">
        <v>86</v>
      </c>
      <c r="O4" s="199">
        <v>0.5</v>
      </c>
      <c r="P4" s="199">
        <v>0.25</v>
      </c>
      <c r="Q4" s="199">
        <v>0.125</v>
      </c>
      <c r="R4" s="200">
        <v>1748.94</v>
      </c>
      <c r="S4" s="200">
        <v>7870230</v>
      </c>
      <c r="T4" s="200">
        <v>3900.1361999999999</v>
      </c>
      <c r="U4" s="200">
        <v>17550612.899999999</v>
      </c>
    </row>
    <row r="5" spans="1:21" ht="18.75">
      <c r="A5" s="113" t="s">
        <v>56</v>
      </c>
      <c r="B5" s="114"/>
      <c r="C5" s="114">
        <v>1</v>
      </c>
      <c r="D5" s="114"/>
      <c r="E5" s="114"/>
    </row>
    <row r="6" spans="1:21" ht="18.75">
      <c r="A6" s="113" t="s">
        <v>57</v>
      </c>
      <c r="B6" s="114"/>
      <c r="C6" s="114"/>
      <c r="D6" s="114">
        <v>1</v>
      </c>
      <c r="E6" s="114"/>
      <c r="T6" s="201"/>
    </row>
    <row r="7" spans="1:21" ht="18.75">
      <c r="A7" s="113" t="s">
        <v>58</v>
      </c>
      <c r="B7" s="114"/>
      <c r="C7" s="114"/>
      <c r="D7" s="114">
        <v>1</v>
      </c>
      <c r="E7" s="114"/>
    </row>
    <row r="8" spans="1:21" ht="18.75">
      <c r="A8" s="113" t="s">
        <v>59</v>
      </c>
      <c r="B8" s="114"/>
      <c r="C8" s="114"/>
      <c r="D8" s="114">
        <v>1</v>
      </c>
      <c r="E8" s="114"/>
    </row>
    <row r="9" spans="1:21" ht="18.75">
      <c r="A9" s="113" t="s">
        <v>60</v>
      </c>
      <c r="B9" s="114"/>
      <c r="C9" s="114"/>
      <c r="D9" s="114"/>
      <c r="E9" s="114">
        <v>1</v>
      </c>
    </row>
    <row r="10" spans="1:21" ht="18.75">
      <c r="A10" s="113" t="s">
        <v>61</v>
      </c>
      <c r="B10" s="114"/>
      <c r="C10" s="114"/>
      <c r="D10" s="114"/>
      <c r="E10" s="114">
        <v>1</v>
      </c>
    </row>
    <row r="11" spans="1:21" ht="18.75">
      <c r="A11" s="113" t="s">
        <v>62</v>
      </c>
      <c r="B11" s="114"/>
      <c r="C11" s="114"/>
      <c r="D11" s="114"/>
      <c r="E11" s="114">
        <v>1</v>
      </c>
    </row>
    <row r="12" spans="1:21" ht="18.75">
      <c r="A12" s="113" t="s">
        <v>63</v>
      </c>
      <c r="B12" s="114"/>
      <c r="C12" s="114"/>
      <c r="D12" s="114"/>
      <c r="E12" s="114">
        <v>4</v>
      </c>
    </row>
    <row r="13" spans="1:21" ht="18.75">
      <c r="A13" s="113" t="s">
        <v>64</v>
      </c>
      <c r="B13" s="114"/>
      <c r="C13" s="114"/>
      <c r="D13" s="114"/>
      <c r="E13" s="114">
        <v>5</v>
      </c>
    </row>
    <row r="15" spans="1:21" ht="18.75">
      <c r="A15" s="132" t="s">
        <v>65</v>
      </c>
    </row>
    <row r="16" spans="1:21" ht="18.75">
      <c r="A16" s="133" t="s">
        <v>66</v>
      </c>
    </row>
    <row r="17" spans="1:1" ht="18.75">
      <c r="A17" s="134" t="s">
        <v>67</v>
      </c>
    </row>
    <row r="18" spans="1:1" ht="18.75">
      <c r="A18" s="135" t="s">
        <v>68</v>
      </c>
    </row>
    <row r="19" spans="1:1" ht="18.75">
      <c r="A19" s="168" t="s">
        <v>69</v>
      </c>
    </row>
  </sheetData>
  <conditionalFormatting sqref="A1:E13">
    <cfRule type="cellIs" dxfId="17" priority="9" operator="equal">
      <formula>1</formula>
    </cfRule>
  </conditionalFormatting>
  <conditionalFormatting sqref="A1:E13">
    <cfRule type="cellIs" dxfId="16" priority="10" operator="equal">
      <formula>2</formula>
    </cfRule>
  </conditionalFormatting>
  <conditionalFormatting sqref="A1:E13">
    <cfRule type="cellIs" dxfId="15" priority="8" operator="equal">
      <formula>3</formula>
    </cfRule>
  </conditionalFormatting>
  <conditionalFormatting sqref="A1:E13">
    <cfRule type="cellIs" dxfId="14" priority="7" operator="equal">
      <formula>4</formula>
    </cfRule>
  </conditionalFormatting>
  <conditionalFormatting sqref="A2:E13">
    <cfRule type="cellIs" dxfId="13" priority="6" operator="equal">
      <formula>5</formula>
    </cfRule>
  </conditionalFormatting>
  <conditionalFormatting sqref="A15:A19">
    <cfRule type="cellIs" dxfId="12" priority="4" operator="equal">
      <formula>1</formula>
    </cfRule>
  </conditionalFormatting>
  <conditionalFormatting sqref="A15:A19">
    <cfRule type="cellIs" dxfId="11" priority="5" operator="equal">
      <formula>2</formula>
    </cfRule>
  </conditionalFormatting>
  <conditionalFormatting sqref="A15:A19">
    <cfRule type="cellIs" dxfId="10" priority="3" operator="equal">
      <formula>3</formula>
    </cfRule>
  </conditionalFormatting>
  <conditionalFormatting sqref="A15:A19">
    <cfRule type="cellIs" dxfId="9" priority="2" operator="equal">
      <formula>4</formula>
    </cfRule>
  </conditionalFormatting>
  <conditionalFormatting sqref="A15:A19">
    <cfRule type="cellIs" dxfId="8" priority="1" operator="equal">
      <formula>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7"/>
  <sheetViews>
    <sheetView showGridLines="0" workbookViewId="0">
      <pane ySplit="1" topLeftCell="A7" activePane="bottomLeft" state="frozen"/>
      <selection pane="bottomLeft" activeCell="F3" sqref="F3"/>
    </sheetView>
  </sheetViews>
  <sheetFormatPr defaultColWidth="12.5703125" defaultRowHeight="15" customHeight="1"/>
  <cols>
    <col min="1" max="1" width="23" customWidth="1"/>
    <col min="2" max="2" width="36.28515625" customWidth="1"/>
    <col min="3" max="3" width="20.85546875" customWidth="1"/>
    <col min="4" max="4" width="13.85546875" customWidth="1"/>
    <col min="5" max="5" width="10.85546875" customWidth="1"/>
    <col min="6" max="6" width="9.140625" customWidth="1"/>
    <col min="7" max="7" width="18.140625" customWidth="1"/>
    <col min="8" max="8" width="9.42578125" customWidth="1"/>
    <col min="9" max="9" width="16.140625" customWidth="1"/>
    <col min="11" max="11" width="14.28515625" customWidth="1"/>
  </cols>
  <sheetData>
    <row r="1" spans="1:11" ht="25.5" customHeight="1">
      <c r="A1" s="63" t="s">
        <v>74</v>
      </c>
      <c r="B1" s="63" t="s">
        <v>75</v>
      </c>
      <c r="C1" s="63" t="s">
        <v>76</v>
      </c>
      <c r="D1" s="63" t="s">
        <v>77</v>
      </c>
      <c r="E1" s="63" t="s">
        <v>78</v>
      </c>
      <c r="F1" s="63" t="s">
        <v>79</v>
      </c>
      <c r="G1" s="64" t="s">
        <v>80</v>
      </c>
      <c r="H1" s="64" t="s">
        <v>81</v>
      </c>
      <c r="I1" s="64" t="s">
        <v>82</v>
      </c>
      <c r="J1" s="64" t="s">
        <v>83</v>
      </c>
      <c r="K1" s="64" t="s">
        <v>84</v>
      </c>
    </row>
    <row r="2" spans="1:11" ht="225">
      <c r="A2" s="194" t="s">
        <v>10</v>
      </c>
      <c r="B2" s="194" t="s">
        <v>87</v>
      </c>
      <c r="C2" s="194" t="s">
        <v>88</v>
      </c>
      <c r="D2" s="194" t="s">
        <v>86</v>
      </c>
      <c r="E2" s="195">
        <v>0.25</v>
      </c>
      <c r="F2" s="195">
        <f>(0.25/7)*2</f>
        <v>7.1428571428571425E-2</v>
      </c>
      <c r="G2" s="196">
        <f t="shared" ref="G2" si="0">E2*F2</f>
        <v>1.7857142857142856E-2</v>
      </c>
      <c r="H2" s="197">
        <f>_xlfn.XLOOKUP(D2, Parameters!$A$6:$A$9, Parameters!$B$6:$B$9) * G2</f>
        <v>297.14285714285711</v>
      </c>
      <c r="I2" s="197">
        <f>H2*trm</f>
        <v>1188571.4285714284</v>
      </c>
      <c r="J2" s="197">
        <f>IF(H2=0, 0, H2*(1+Total!$I$4)*(1-Total!$J$4))</f>
        <v>629.49714285714276</v>
      </c>
      <c r="K2" s="197">
        <f>IF(I2=0, 0, I2*(1+Total!$I$4)*(1-Total!$J$4))</f>
        <v>2517988.5714285709</v>
      </c>
    </row>
    <row r="3" spans="1:11" ht="185.25">
      <c r="A3" s="194" t="s">
        <v>10</v>
      </c>
      <c r="B3" s="194" t="s">
        <v>89</v>
      </c>
      <c r="C3" s="194" t="s">
        <v>90</v>
      </c>
      <c r="D3" s="194" t="s">
        <v>86</v>
      </c>
      <c r="E3" s="195">
        <v>0.25</v>
      </c>
      <c r="F3" s="195">
        <f>(0.25/7)*2</f>
        <v>7.1428571428571425E-2</v>
      </c>
      <c r="G3" s="196">
        <f t="shared" ref="G3:G8" si="1">E3*F3</f>
        <v>1.7857142857142856E-2</v>
      </c>
      <c r="H3" s="197">
        <f>_xlfn.XLOOKUP(D3, Parameters!$A$6:$A$9, Parameters!$B$6:$B$9) * G3</f>
        <v>297.14285714285711</v>
      </c>
      <c r="I3" s="197">
        <f>H3*trm</f>
        <v>1188571.4285714284</v>
      </c>
      <c r="J3" s="197">
        <f>IF(H3=0, 0, H3*(1+Total!$I$4)*(1-Total!$J$4))</f>
        <v>629.49714285714276</v>
      </c>
      <c r="K3" s="197">
        <f>IF(I3=0, 0, I3*(1+Total!$I$4)*(1-Total!$J$4))</f>
        <v>2517988.5714285709</v>
      </c>
    </row>
    <row r="4" spans="1:11" ht="198.75">
      <c r="A4" s="194" t="s">
        <v>10</v>
      </c>
      <c r="B4" s="194" t="s">
        <v>91</v>
      </c>
      <c r="C4" s="194" t="s">
        <v>92</v>
      </c>
      <c r="D4" s="194" t="s">
        <v>86</v>
      </c>
      <c r="E4" s="195">
        <v>0.25</v>
      </c>
      <c r="F4" s="195">
        <f>(0.25/7)*2</f>
        <v>7.1428571428571425E-2</v>
      </c>
      <c r="G4" s="196">
        <f t="shared" si="1"/>
        <v>1.7857142857142856E-2</v>
      </c>
      <c r="H4" s="197">
        <f>_xlfn.XLOOKUP(D4, Parameters!$A$6:$A$9, Parameters!$B$6:$B$9) * G4</f>
        <v>297.14285714285711</v>
      </c>
      <c r="I4" s="197">
        <f>H4*trm</f>
        <v>1188571.4285714284</v>
      </c>
      <c r="J4" s="197">
        <f>IF(H4=0, 0, H4*(1+Total!$I$4)*(1-Total!$J$4))</f>
        <v>629.49714285714276</v>
      </c>
      <c r="K4" s="197">
        <f>IF(I4=0, 0, I4*(1+Total!$I$4)*(1-Total!$J$4))</f>
        <v>2517988.5714285709</v>
      </c>
    </row>
    <row r="5" spans="1:11" ht="185.25">
      <c r="A5" s="202" t="s">
        <v>10</v>
      </c>
      <c r="B5" s="202" t="s">
        <v>93</v>
      </c>
      <c r="C5" s="202" t="s">
        <v>94</v>
      </c>
      <c r="D5" s="202" t="s">
        <v>86</v>
      </c>
      <c r="E5" s="203">
        <v>0.25</v>
      </c>
      <c r="F5" s="203">
        <f>(0.25/7)*2</f>
        <v>7.1428571428571425E-2</v>
      </c>
      <c r="G5" s="204">
        <f t="shared" si="1"/>
        <v>1.7857142857142856E-2</v>
      </c>
      <c r="H5" s="205">
        <f>_xlfn.XLOOKUP(D5, Parameters!$A$6:$A$9, Parameters!$B$6:$B$9) * G5</f>
        <v>297.14285714285711</v>
      </c>
      <c r="I5" s="205">
        <f>H5*trm</f>
        <v>1188571.4285714284</v>
      </c>
      <c r="J5" s="205">
        <f>IF(H5=0, 0, H5*(1+Total!$I$4)*(1-Total!$J$4))</f>
        <v>629.49714285714276</v>
      </c>
      <c r="K5" s="205">
        <f>IF(I5=0, 0, I5*(1+Total!$I$4)*(1-Total!$J$4))</f>
        <v>2517988.5714285709</v>
      </c>
    </row>
    <row r="6" spans="1:11" ht="198.75">
      <c r="A6" s="194" t="s">
        <v>10</v>
      </c>
      <c r="B6" s="194" t="s">
        <v>95</v>
      </c>
      <c r="C6" s="194" t="s">
        <v>96</v>
      </c>
      <c r="D6" s="194" t="s">
        <v>86</v>
      </c>
      <c r="E6" s="195">
        <v>0.25</v>
      </c>
      <c r="F6" s="195">
        <f>(0.25/7)*3</f>
        <v>0.10714285714285714</v>
      </c>
      <c r="G6" s="204">
        <f t="shared" si="1"/>
        <v>2.6785714285714284E-2</v>
      </c>
      <c r="H6" s="205">
        <f>_xlfn.XLOOKUP(D6, Parameters!$A$6:$A$9, Parameters!$B$6:$B$9) * G6</f>
        <v>445.71428571428567</v>
      </c>
      <c r="I6" s="205">
        <f>H6*trm</f>
        <v>1782857.1428571427</v>
      </c>
      <c r="J6" s="205">
        <f>IF(H6=0, 0, H6*(1+Total!$I$4)*(1-Total!$J$4))</f>
        <v>944.24571428571414</v>
      </c>
      <c r="K6" s="205">
        <f>IF(I6=0, 0, I6*(1+Total!$I$4)*(1-Total!$J$4))</f>
        <v>3776982.8571428568</v>
      </c>
    </row>
    <row r="7" spans="1:11" ht="185.25">
      <c r="A7" s="194" t="s">
        <v>10</v>
      </c>
      <c r="B7" s="194" t="s">
        <v>97</v>
      </c>
      <c r="C7" s="194" t="s">
        <v>98</v>
      </c>
      <c r="D7" s="194" t="s">
        <v>86</v>
      </c>
      <c r="E7" s="195">
        <v>0.25</v>
      </c>
      <c r="F7" s="195">
        <f>(0.25/7)*10</f>
        <v>0.3571428571428571</v>
      </c>
      <c r="G7" s="204">
        <f t="shared" si="1"/>
        <v>8.9285714285714274E-2</v>
      </c>
      <c r="H7" s="205">
        <f>_xlfn.XLOOKUP(D7, Parameters!$A$6:$A$9, Parameters!$B$6:$B$9) * G7</f>
        <v>1485.7142857142856</v>
      </c>
      <c r="I7" s="205">
        <f>H7*trm</f>
        <v>5942857.1428571418</v>
      </c>
      <c r="J7" s="205">
        <f>IF(H7=0, 0, H7*(1+Total!$I$4)*(1-Total!$J$4))</f>
        <v>3147.485714285714</v>
      </c>
      <c r="K7" s="205">
        <f>IF(I7=0, 0, I7*(1+Total!$I$4)*(1-Total!$J$4))</f>
        <v>12589942.857142853</v>
      </c>
    </row>
    <row r="8" spans="1:11" ht="146.25">
      <c r="A8" s="194" t="s">
        <v>10</v>
      </c>
      <c r="B8" s="194" t="s">
        <v>99</v>
      </c>
      <c r="C8" s="194" t="s">
        <v>100</v>
      </c>
      <c r="D8" s="194" t="s">
        <v>86</v>
      </c>
      <c r="E8" s="195">
        <v>0.25</v>
      </c>
      <c r="F8" s="206">
        <f>(0.25/7)*2</f>
        <v>7.1428571428571425E-2</v>
      </c>
      <c r="G8" s="196">
        <f t="shared" si="1"/>
        <v>1.7857142857142856E-2</v>
      </c>
      <c r="H8" s="197">
        <f>_xlfn.XLOOKUP(D8, Parameters!$A$6:$A$9, Parameters!$B$6:$B$9) * G8</f>
        <v>297.14285714285711</v>
      </c>
      <c r="I8" s="197">
        <f>H8*trm</f>
        <v>1188571.4285714284</v>
      </c>
      <c r="J8" s="197">
        <f>IF(H8=0, 0, H8*(1+Total!$I$4)*(1-Total!$J$4))</f>
        <v>629.49714285714276</v>
      </c>
      <c r="K8" s="197">
        <f>IF(I8=0, 0, I8*(1+Total!$I$4)*(1-Total!$J$4))</f>
        <v>2517988.5714285709</v>
      </c>
    </row>
    <row r="9" spans="1:11" ht="15.75" customHeight="1">
      <c r="A9" s="2"/>
      <c r="B9" s="2"/>
      <c r="C9" s="69"/>
      <c r="D9" s="2"/>
      <c r="E9" s="2"/>
      <c r="F9" s="10"/>
      <c r="G9" s="70"/>
      <c r="H9" s="71"/>
      <c r="I9" s="71"/>
      <c r="J9" s="71"/>
      <c r="K9" s="71"/>
    </row>
    <row r="10" spans="1:11" ht="35.25" customHeight="1">
      <c r="A10" s="2"/>
      <c r="B10" s="2"/>
      <c r="C10" s="69"/>
      <c r="D10" s="2"/>
      <c r="E10" s="2"/>
      <c r="F10" s="2"/>
      <c r="G10" s="64" t="s">
        <v>101</v>
      </c>
      <c r="H10" s="67">
        <f>SUMIF(A2:A8,"Implementación", G2:G8)</f>
        <v>0.20535714285714285</v>
      </c>
    </row>
    <row r="11" spans="1:11" ht="26.25">
      <c r="A11" s="2"/>
      <c r="B11" s="2"/>
      <c r="C11" s="69"/>
      <c r="D11" s="2"/>
      <c r="E11" s="2"/>
      <c r="F11" s="2"/>
      <c r="G11" s="64" t="s">
        <v>102</v>
      </c>
      <c r="H11" s="72">
        <f>ROUND(H10*160*4,0)</f>
        <v>131</v>
      </c>
      <c r="I11" s="154"/>
    </row>
    <row r="12" spans="1:11" ht="26.25">
      <c r="A12" s="2"/>
      <c r="B12" s="2"/>
      <c r="C12" s="69"/>
      <c r="D12" s="2"/>
      <c r="E12" s="2"/>
      <c r="F12" s="2"/>
      <c r="G12" s="64" t="s">
        <v>103</v>
      </c>
      <c r="H12" s="72">
        <f>ROUND(SUM(0)*160*4,0)</f>
        <v>0</v>
      </c>
    </row>
    <row r="13" spans="1:11" ht="15.75" customHeight="1">
      <c r="A13" s="2"/>
      <c r="B13" s="2"/>
      <c r="C13" s="69"/>
      <c r="D13" s="2"/>
      <c r="E13" s="2"/>
      <c r="F13" s="10"/>
      <c r="G13" s="70"/>
      <c r="H13" s="71"/>
      <c r="I13" s="71"/>
      <c r="J13" s="71"/>
      <c r="K13" s="71"/>
    </row>
    <row r="14" spans="1:11" ht="15.75" customHeight="1">
      <c r="A14" s="2"/>
      <c r="B14" s="2"/>
      <c r="C14" s="69"/>
      <c r="D14" s="2"/>
      <c r="E14" s="2"/>
      <c r="F14" s="2"/>
      <c r="G14" s="64" t="s">
        <v>10</v>
      </c>
      <c r="H14" s="73">
        <f>SUMIF(A2:A8,"Implementación", H2:H8)</f>
        <v>3417.1428571428569</v>
      </c>
      <c r="I14" s="73">
        <f>SUMIF(A2:A8,"Implementación", I2:I8)</f>
        <v>13668571.428571427</v>
      </c>
    </row>
    <row r="15" spans="1:11" ht="15.75" customHeight="1">
      <c r="A15" s="2"/>
      <c r="B15" s="2"/>
      <c r="C15" s="69"/>
      <c r="D15" s="2"/>
      <c r="E15" s="2"/>
      <c r="F15" s="2"/>
      <c r="G15" s="64" t="s">
        <v>13</v>
      </c>
      <c r="H15" s="73">
        <f>SUMIF(A2:A8,"Operación", H2:H8)</f>
        <v>0</v>
      </c>
      <c r="I15" s="73">
        <f>SUMIF(A2:A5,"Operación", I2:I5)</f>
        <v>0</v>
      </c>
    </row>
    <row r="16" spans="1:11" ht="15.75" customHeight="1">
      <c r="A16" s="2"/>
      <c r="B16" s="2"/>
      <c r="C16" s="69"/>
      <c r="D16" s="2"/>
      <c r="E16" s="2"/>
      <c r="F16" s="2"/>
      <c r="G16" s="64" t="s">
        <v>104</v>
      </c>
      <c r="H16" s="73">
        <f>SUM(H14:H15)</f>
        <v>3417.1428571428569</v>
      </c>
      <c r="I16" s="73">
        <f>SUM(I14:I15)</f>
        <v>13668571.428571427</v>
      </c>
    </row>
    <row r="17" spans="1:11" ht="15.75" customHeight="1">
      <c r="A17" s="2"/>
      <c r="B17" s="2"/>
      <c r="C17" s="69"/>
      <c r="D17" s="2"/>
      <c r="E17" s="2"/>
      <c r="F17" s="2"/>
      <c r="G17" s="2"/>
      <c r="H17" s="2"/>
      <c r="I17" s="2"/>
      <c r="J17" s="2"/>
      <c r="K17" s="2"/>
    </row>
  </sheetData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300-000000000000}">
          <x14:formula1>
            <xm:f>Parameters!$A$2:$A$3</xm:f>
          </x14:formula1>
          <xm:sqref>A2:A8</xm:sqref>
        </x14:dataValidation>
        <x14:dataValidation type="list" allowBlank="1" showErrorMessage="1" xr:uid="{00000000-0002-0000-0300-000001000000}">
          <x14:formula1>
            <xm:f>Parameters!$A$6:$A$9</xm:f>
          </x14:formula1>
          <xm:sqref>D2:D8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8667-24D2-4FF3-A6E8-502070337C2A}">
  <sheetPr>
    <outlinePr summaryBelow="0" summaryRight="0"/>
  </sheetPr>
  <dimension ref="A1:I4"/>
  <sheetViews>
    <sheetView showGridLines="0" tabSelected="1" workbookViewId="0">
      <selection activeCell="H2" sqref="H2"/>
    </sheetView>
  </sheetViews>
  <sheetFormatPr defaultColWidth="12.5703125" defaultRowHeight="15" customHeight="1"/>
  <cols>
    <col min="1" max="1" width="31.5703125" customWidth="1"/>
    <col min="2" max="2" width="12.5703125" customWidth="1"/>
    <col min="3" max="3" width="21.28515625" customWidth="1"/>
    <col min="4" max="4" width="14.28515625" customWidth="1"/>
    <col min="5" max="5" width="8.85546875" customWidth="1"/>
    <col min="6" max="6" width="9.85546875" customWidth="1"/>
    <col min="7" max="7" width="9.42578125" customWidth="1"/>
    <col min="8" max="8" width="36" customWidth="1"/>
    <col min="9" max="9" width="39" customWidth="1"/>
  </cols>
  <sheetData>
    <row r="1" spans="1:9" ht="26.25">
      <c r="A1" s="143" t="s">
        <v>74</v>
      </c>
      <c r="B1" s="106" t="s">
        <v>105</v>
      </c>
      <c r="C1" s="74" t="s">
        <v>106</v>
      </c>
      <c r="D1" s="74" t="s">
        <v>107</v>
      </c>
      <c r="E1" s="75" t="s">
        <v>108</v>
      </c>
      <c r="F1" s="75" t="s">
        <v>109</v>
      </c>
      <c r="G1" s="75" t="s">
        <v>110</v>
      </c>
      <c r="H1" s="74" t="s">
        <v>111</v>
      </c>
      <c r="I1" s="74" t="s">
        <v>112</v>
      </c>
    </row>
    <row r="2" spans="1:9" ht="29.25" customHeight="1">
      <c r="A2" s="65" t="s">
        <v>13</v>
      </c>
      <c r="B2" s="107" t="s">
        <v>15</v>
      </c>
      <c r="C2" s="76"/>
      <c r="D2" s="77">
        <v>1952.46</v>
      </c>
      <c r="E2" s="78">
        <v>7.0000000000000007E-2</v>
      </c>
      <c r="F2" s="79">
        <f>D2*(1-E2)</f>
        <v>1815.7877999999998</v>
      </c>
      <c r="G2" s="78">
        <f>ROUND(((D2/F2)-1),4)</f>
        <v>7.5300000000000006E-2</v>
      </c>
      <c r="H2" s="207" t="s">
        <v>113</v>
      </c>
      <c r="I2" s="108"/>
    </row>
    <row r="3" spans="1:9" ht="29.25" customHeight="1">
      <c r="A3" s="65" t="s">
        <v>10</v>
      </c>
      <c r="B3" s="107" t="s">
        <v>12</v>
      </c>
      <c r="C3" s="68"/>
      <c r="D3" s="77">
        <f>D2</f>
        <v>1952.46</v>
      </c>
      <c r="E3" s="78">
        <v>7.0000000000000007E-2</v>
      </c>
      <c r="F3" s="79">
        <f t="shared" ref="F3:F5" si="0">D3*(1-E3)</f>
        <v>1815.7877999999998</v>
      </c>
      <c r="G3" s="78">
        <f t="shared" ref="G3:G4" si="1">IFERROR(ROUND(((D3/F3)-1),4),"NA")</f>
        <v>7.5300000000000006E-2</v>
      </c>
      <c r="H3" s="80"/>
      <c r="I3" s="68"/>
    </row>
    <row r="4" spans="1:9" ht="29.25" customHeight="1">
      <c r="A4" s="65"/>
      <c r="B4" s="107" t="s">
        <v>114</v>
      </c>
      <c r="C4" s="68"/>
      <c r="D4" s="77"/>
      <c r="E4" s="78">
        <v>7.0000000000000007E-2</v>
      </c>
      <c r="F4" s="79">
        <f t="shared" si="0"/>
        <v>0</v>
      </c>
      <c r="G4" s="78" t="str">
        <f t="shared" si="1"/>
        <v>NA</v>
      </c>
      <c r="H4" s="68"/>
      <c r="I4" s="68"/>
    </row>
  </sheetData>
  <dataValidations count="1">
    <dataValidation type="list" allowBlank="1" showErrorMessage="1" sqref="A2:A4" xr:uid="{1689575C-B036-4704-A21F-5E482C91435F}">
      <formula1>$A$2:$A$3</formula1>
    </dataValidation>
  </dataValidations>
  <hyperlinks>
    <hyperlink ref="H2" r:id="rId1" location="/estimate?id=dd8d9356c8f2b076659df2b6615ddc06a02b3d2d" xr:uid="{8D9BA6EB-5C59-46D1-92F6-FE5014A0766F}"/>
  </hyperlinks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O14"/>
  <sheetViews>
    <sheetView workbookViewId="0">
      <selection activeCell="E3" sqref="E3"/>
    </sheetView>
  </sheetViews>
  <sheetFormatPr defaultColWidth="12.5703125" defaultRowHeight="15" customHeight="1"/>
  <cols>
    <col min="1" max="1" width="13.42578125" customWidth="1"/>
    <col min="2" max="2" width="16.140625" customWidth="1"/>
    <col min="3" max="3" width="72.140625" customWidth="1"/>
    <col min="4" max="4" width="14.7109375" customWidth="1"/>
    <col min="5" max="5" width="10.85546875" customWidth="1"/>
    <col min="7" max="7" width="18" customWidth="1"/>
    <col min="10" max="10" width="17.28515625" customWidth="1"/>
    <col min="14" max="14" width="21" customWidth="1"/>
    <col min="15" max="15" width="14.7109375" bestFit="1" customWidth="1"/>
  </cols>
  <sheetData>
    <row r="1" spans="1:15" ht="45">
      <c r="A1" s="85" t="s">
        <v>115</v>
      </c>
      <c r="B1" s="115" t="s">
        <v>116</v>
      </c>
      <c r="C1" s="86" t="s">
        <v>117</v>
      </c>
      <c r="D1" s="86" t="s">
        <v>118</v>
      </c>
      <c r="E1" s="86" t="s">
        <v>4</v>
      </c>
      <c r="F1" s="86" t="s">
        <v>119</v>
      </c>
      <c r="G1" s="86" t="s">
        <v>120</v>
      </c>
      <c r="H1" s="86" t="s">
        <v>8</v>
      </c>
      <c r="I1" s="86" t="s">
        <v>121</v>
      </c>
      <c r="J1" s="86" t="s">
        <v>122</v>
      </c>
      <c r="K1" s="86" t="s">
        <v>123</v>
      </c>
      <c r="L1" s="86" t="s">
        <v>25</v>
      </c>
      <c r="M1" s="86" t="s">
        <v>124</v>
      </c>
      <c r="N1" s="86" t="s">
        <v>125</v>
      </c>
    </row>
    <row r="2" spans="1:15" ht="26.25">
      <c r="A2" s="87"/>
      <c r="B2" s="88" t="s">
        <v>13</v>
      </c>
      <c r="C2" s="194" t="s">
        <v>85</v>
      </c>
      <c r="D2" s="89">
        <v>3900</v>
      </c>
      <c r="E2" s="90">
        <v>0</v>
      </c>
      <c r="F2" s="91">
        <f>D2*E2</f>
        <v>0</v>
      </c>
      <c r="G2" s="91">
        <f>F2*trm</f>
        <v>0</v>
      </c>
      <c r="H2" s="92">
        <v>0.13639999999999999</v>
      </c>
      <c r="I2" s="91">
        <f t="shared" ref="I2:I5" si="0">F2*(1+H2)</f>
        <v>0</v>
      </c>
      <c r="J2" s="91">
        <f>I2*trm</f>
        <v>0</v>
      </c>
      <c r="K2" s="93">
        <f t="shared" ref="K2:K6" si="1">IFERROR(1-(F2/I2),0)</f>
        <v>0</v>
      </c>
      <c r="L2" s="89">
        <f>I2*0.19</f>
        <v>0</v>
      </c>
      <c r="M2" s="91">
        <f>I2+L2</f>
        <v>0</v>
      </c>
      <c r="N2" s="91">
        <f>(K2+M2)*trm</f>
        <v>0</v>
      </c>
      <c r="O2" s="111"/>
    </row>
    <row r="3" spans="1:15">
      <c r="A3" s="87"/>
      <c r="B3" s="88" t="s">
        <v>13</v>
      </c>
      <c r="C3" s="88"/>
      <c r="D3" s="89"/>
      <c r="E3" s="90"/>
      <c r="F3" s="91">
        <f>D3*E3</f>
        <v>0</v>
      </c>
      <c r="G3" s="91">
        <f>F3*trm</f>
        <v>0</v>
      </c>
      <c r="H3" s="92">
        <v>0.13639999999999999</v>
      </c>
      <c r="I3" s="91">
        <f t="shared" si="0"/>
        <v>0</v>
      </c>
      <c r="J3" s="91">
        <f>I3*trm</f>
        <v>0</v>
      </c>
      <c r="K3" s="93">
        <f t="shared" si="1"/>
        <v>0</v>
      </c>
      <c r="L3" s="89">
        <v>0</v>
      </c>
      <c r="M3" s="91">
        <f>I3+L3</f>
        <v>0</v>
      </c>
      <c r="N3" s="91">
        <f>(K3+M3)*trm</f>
        <v>0</v>
      </c>
    </row>
    <row r="4" spans="1:15">
      <c r="A4" s="87"/>
      <c r="B4" s="88" t="s">
        <v>13</v>
      </c>
      <c r="C4" s="88"/>
      <c r="D4" s="89"/>
      <c r="E4" s="90"/>
      <c r="F4" s="91">
        <f>D4*E4</f>
        <v>0</v>
      </c>
      <c r="G4" s="91">
        <f>F4*trm</f>
        <v>0</v>
      </c>
      <c r="H4" s="92">
        <v>0.53849999999999998</v>
      </c>
      <c r="I4" s="91">
        <f t="shared" si="0"/>
        <v>0</v>
      </c>
      <c r="J4" s="91">
        <f>I4*trm</f>
        <v>0</v>
      </c>
      <c r="K4" s="93">
        <f t="shared" si="1"/>
        <v>0</v>
      </c>
      <c r="L4" s="89">
        <f t="shared" ref="L4:L5" si="2">I4*19%</f>
        <v>0</v>
      </c>
      <c r="M4" s="91">
        <f>I4+L4</f>
        <v>0</v>
      </c>
      <c r="N4" s="91">
        <f>(K4+M4)*trm</f>
        <v>0</v>
      </c>
    </row>
    <row r="5" spans="1:15">
      <c r="A5" s="87"/>
      <c r="B5" s="88" t="s">
        <v>13</v>
      </c>
      <c r="C5" s="88"/>
      <c r="D5" s="89"/>
      <c r="E5" s="90"/>
      <c r="F5" s="91">
        <f>D5*E5</f>
        <v>0</v>
      </c>
      <c r="G5" s="91">
        <f>F5*trm</f>
        <v>0</v>
      </c>
      <c r="H5" s="92">
        <v>0.53849999999999998</v>
      </c>
      <c r="I5" s="91">
        <f t="shared" si="0"/>
        <v>0</v>
      </c>
      <c r="J5" s="91">
        <f>I5*trm</f>
        <v>0</v>
      </c>
      <c r="K5" s="93">
        <f t="shared" si="1"/>
        <v>0</v>
      </c>
      <c r="L5" s="89">
        <f t="shared" si="2"/>
        <v>0</v>
      </c>
      <c r="M5" s="91">
        <f>I5+L5</f>
        <v>0</v>
      </c>
      <c r="N5" s="91">
        <f>(K5+M5)*trm</f>
        <v>0</v>
      </c>
    </row>
    <row r="6" spans="1:15">
      <c r="A6" s="208" t="s">
        <v>19</v>
      </c>
      <c r="B6" s="209"/>
      <c r="C6" s="210"/>
      <c r="D6" s="94">
        <f>SUM(D2:D5)</f>
        <v>3900</v>
      </c>
      <c r="E6" s="95" t="s">
        <v>126</v>
      </c>
      <c r="F6" s="94">
        <f>SUM(F2:F5)</f>
        <v>0</v>
      </c>
      <c r="G6" s="94">
        <f>SUM(G2:G5)</f>
        <v>0</v>
      </c>
      <c r="H6" s="96">
        <f>IFERROR((I6/F6)-1,0)</f>
        <v>0</v>
      </c>
      <c r="I6" s="94">
        <f>SUM(I2:I5)</f>
        <v>0</v>
      </c>
      <c r="J6" s="94">
        <f>SUM(J2:J5)</f>
        <v>0</v>
      </c>
      <c r="K6" s="96">
        <f t="shared" si="1"/>
        <v>0</v>
      </c>
      <c r="L6" s="94">
        <f t="shared" ref="L6:M6" si="3">SUM(L2:L5)</f>
        <v>0</v>
      </c>
      <c r="M6" s="94">
        <f t="shared" si="3"/>
        <v>0</v>
      </c>
      <c r="N6" s="94">
        <f>SUM(N2:N5)</f>
        <v>0</v>
      </c>
    </row>
    <row r="7" spans="1:15" ht="15" customHeight="1">
      <c r="D7" s="111"/>
    </row>
    <row r="8" spans="1:15" ht="15" customHeight="1">
      <c r="D8" s="111"/>
    </row>
    <row r="14" spans="1:15" ht="15" customHeight="1">
      <c r="E14" s="111"/>
    </row>
  </sheetData>
  <mergeCells count="1">
    <mergeCell ref="A6:C6"/>
  </mergeCells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05A37E4-7945-4B4B-B4B2-00296C06CD75}">
          <x14:formula1>
            <xm:f>Parameters!$H$6:$H$9</xm:f>
          </x14:formula1>
          <xm:sqref>B2:B5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7"/>
  <sheetViews>
    <sheetView showGridLines="0" workbookViewId="0">
      <selection activeCell="C31" sqref="C31"/>
    </sheetView>
  </sheetViews>
  <sheetFormatPr defaultColWidth="12.5703125" defaultRowHeight="15" customHeight="1"/>
  <cols>
    <col min="1" max="1" width="12.5703125" customWidth="1"/>
    <col min="2" max="2" width="66.7109375" customWidth="1"/>
    <col min="3" max="3" width="16.28515625" customWidth="1"/>
  </cols>
  <sheetData>
    <row r="1" spans="1:3">
      <c r="A1" s="106" t="s">
        <v>105</v>
      </c>
      <c r="B1" s="75" t="s">
        <v>106</v>
      </c>
      <c r="C1" s="75" t="s">
        <v>127</v>
      </c>
    </row>
    <row r="2" spans="1:3" ht="15.75" customHeight="1">
      <c r="A2" s="109" t="s">
        <v>128</v>
      </c>
      <c r="B2" s="81" t="s">
        <v>129</v>
      </c>
      <c r="C2" s="82">
        <v>0</v>
      </c>
    </row>
    <row r="3" spans="1:3" ht="15.75" customHeight="1">
      <c r="A3" s="109" t="s">
        <v>17</v>
      </c>
      <c r="B3" s="81" t="s">
        <v>129</v>
      </c>
      <c r="C3" s="82">
        <v>2600</v>
      </c>
    </row>
    <row r="4" spans="1:3" ht="15.75" customHeight="1">
      <c r="A4" s="109" t="s">
        <v>130</v>
      </c>
      <c r="B4" s="83" t="s">
        <v>131</v>
      </c>
      <c r="C4" s="84">
        <v>5300</v>
      </c>
    </row>
    <row r="5" spans="1:3" ht="15.75" customHeight="1">
      <c r="A5" s="109" t="s">
        <v>132</v>
      </c>
      <c r="B5" s="83" t="s">
        <v>133</v>
      </c>
      <c r="C5" s="84">
        <v>12100</v>
      </c>
    </row>
    <row r="6" spans="1:3" ht="15.75" customHeight="1">
      <c r="A6" s="109" t="s">
        <v>134</v>
      </c>
      <c r="B6" s="83" t="s">
        <v>135</v>
      </c>
      <c r="C6" s="84">
        <v>50300</v>
      </c>
    </row>
    <row r="7" spans="1:3" ht="15.75" customHeight="1">
      <c r="A7" s="109" t="s">
        <v>136</v>
      </c>
      <c r="B7" s="83" t="s">
        <v>137</v>
      </c>
      <c r="C7" s="84">
        <f>50300*1.75</f>
        <v>88025</v>
      </c>
    </row>
  </sheetData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7"/>
  <sheetViews>
    <sheetView workbookViewId="0">
      <selection activeCell="A12" sqref="A12"/>
    </sheetView>
  </sheetViews>
  <sheetFormatPr defaultColWidth="12.5703125" defaultRowHeight="15" customHeight="1"/>
  <sheetData>
    <row r="1" spans="1:4">
      <c r="A1" s="106" t="s">
        <v>138</v>
      </c>
      <c r="B1" s="75" t="s">
        <v>139</v>
      </c>
      <c r="C1" s="75" t="s">
        <v>140</v>
      </c>
      <c r="D1" s="75" t="s">
        <v>141</v>
      </c>
    </row>
    <row r="2" spans="1:4">
      <c r="A2" s="110" t="s">
        <v>142</v>
      </c>
      <c r="B2" s="97" t="s">
        <v>143</v>
      </c>
      <c r="C2" s="98">
        <f>IF(B2="Si",$B$6*5%,0)</f>
        <v>0</v>
      </c>
      <c r="D2" s="98">
        <v>10000</v>
      </c>
    </row>
    <row r="3" spans="1:4">
      <c r="A3" s="110" t="s">
        <v>144</v>
      </c>
      <c r="B3" s="97" t="s">
        <v>143</v>
      </c>
      <c r="C3" s="98">
        <f>IF(B3="Si",$B$6*20%,0)</f>
        <v>0</v>
      </c>
      <c r="D3" s="98">
        <v>41000</v>
      </c>
    </row>
    <row r="4" spans="1:4">
      <c r="A4" s="110" t="s">
        <v>145</v>
      </c>
      <c r="B4" s="99" t="s">
        <v>143</v>
      </c>
      <c r="C4" s="98">
        <f>IF(B4="Si",$B$6*25%,0)</f>
        <v>0</v>
      </c>
      <c r="D4" s="99">
        <v>54000</v>
      </c>
    </row>
    <row r="5" spans="1:4">
      <c r="A5" s="100"/>
    </row>
    <row r="6" spans="1:4">
      <c r="A6" s="110" t="s">
        <v>146</v>
      </c>
      <c r="B6" s="97">
        <f>18000*12</f>
        <v>216000</v>
      </c>
    </row>
    <row r="7" spans="1:4">
      <c r="A7" s="110" t="s">
        <v>147</v>
      </c>
      <c r="B7" s="101"/>
    </row>
  </sheetData>
  <dataValidations count="1">
    <dataValidation type="list" allowBlank="1" showErrorMessage="1" sqref="B2:B4" xr:uid="{00000000-0002-0000-0700-000000000000}">
      <formula1>"Si,No"</formula1>
    </dataValidation>
  </dataValidations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1000"/>
  <sheetViews>
    <sheetView workbookViewId="0">
      <pane ySplit="1" topLeftCell="B3" activePane="bottomLeft" state="frozen"/>
      <selection pane="bottomLeft" activeCell="B3" sqref="B3"/>
    </sheetView>
  </sheetViews>
  <sheetFormatPr defaultColWidth="12.5703125" defaultRowHeight="15" customHeight="1"/>
  <cols>
    <col min="1" max="1" width="20.28515625" customWidth="1"/>
    <col min="2" max="2" width="33.5703125" customWidth="1"/>
    <col min="3" max="3" width="23.28515625" customWidth="1"/>
  </cols>
  <sheetData>
    <row r="1" spans="1:3">
      <c r="A1" s="1" t="s">
        <v>148</v>
      </c>
      <c r="B1" s="1" t="s">
        <v>106</v>
      </c>
      <c r="C1" s="1" t="s">
        <v>149</v>
      </c>
    </row>
    <row r="2" spans="1:3">
      <c r="A2" s="69"/>
      <c r="B2" s="69"/>
      <c r="C2" s="69"/>
    </row>
    <row r="3" spans="1:3">
      <c r="A3" s="2"/>
      <c r="B3" s="69"/>
      <c r="C3" s="69"/>
    </row>
    <row r="4" spans="1:3">
      <c r="A4" s="69"/>
      <c r="B4" s="69"/>
      <c r="C4" s="69"/>
    </row>
    <row r="5" spans="1:3">
      <c r="A5" s="69"/>
      <c r="B5" s="69"/>
      <c r="C5" s="69"/>
    </row>
    <row r="6" spans="1:3">
      <c r="A6" s="69"/>
      <c r="B6" s="69"/>
      <c r="C6" s="69"/>
    </row>
    <row r="7" spans="1:3">
      <c r="A7" s="69"/>
      <c r="B7" s="69"/>
      <c r="C7" s="69"/>
    </row>
    <row r="8" spans="1:3">
      <c r="A8" s="69"/>
      <c r="B8" s="69"/>
      <c r="C8" s="69"/>
    </row>
    <row r="9" spans="1:3">
      <c r="A9" s="69"/>
      <c r="B9" s="69"/>
      <c r="C9" s="69"/>
    </row>
    <row r="10" spans="1:3">
      <c r="A10" s="69"/>
      <c r="B10" s="69"/>
      <c r="C10" s="69"/>
    </row>
    <row r="11" spans="1:3">
      <c r="A11" s="69"/>
      <c r="B11" s="69"/>
      <c r="C11" s="69"/>
    </row>
    <row r="12" spans="1:3">
      <c r="A12" s="69"/>
      <c r="B12" s="69"/>
      <c r="C12" s="69"/>
    </row>
    <row r="13" spans="1:3">
      <c r="A13" s="69"/>
      <c r="B13" s="69"/>
      <c r="C13" s="69"/>
    </row>
    <row r="14" spans="1:3">
      <c r="A14" s="69"/>
      <c r="B14" s="69"/>
      <c r="C14" s="69"/>
    </row>
    <row r="15" spans="1:3">
      <c r="A15" s="69"/>
      <c r="B15" s="69"/>
      <c r="C15" s="69"/>
    </row>
    <row r="16" spans="1:3">
      <c r="A16" s="69"/>
      <c r="B16" s="69"/>
      <c r="C16" s="69"/>
    </row>
    <row r="17" spans="1:3">
      <c r="A17" s="69"/>
      <c r="B17" s="69"/>
      <c r="C17" s="69"/>
    </row>
    <row r="18" spans="1:3">
      <c r="A18" s="69"/>
      <c r="B18" s="69"/>
      <c r="C18" s="69"/>
    </row>
    <row r="19" spans="1:3">
      <c r="A19" s="69"/>
      <c r="B19" s="69"/>
      <c r="C19" s="69"/>
    </row>
    <row r="20" spans="1:3">
      <c r="A20" s="69"/>
      <c r="B20" s="69"/>
      <c r="C20" s="69"/>
    </row>
    <row r="21" spans="1:3" ht="15.75" customHeight="1">
      <c r="A21" s="69"/>
      <c r="B21" s="69"/>
      <c r="C21" s="69"/>
    </row>
    <row r="22" spans="1:3" ht="15.75" customHeight="1">
      <c r="A22" s="69"/>
      <c r="B22" s="69"/>
      <c r="C22" s="69"/>
    </row>
    <row r="23" spans="1:3" ht="15.75" customHeight="1">
      <c r="A23" s="69"/>
      <c r="B23" s="69"/>
      <c r="C23" s="69"/>
    </row>
    <row r="24" spans="1:3" ht="15.75" customHeight="1">
      <c r="A24" s="69"/>
      <c r="B24" s="69"/>
      <c r="C24" s="69"/>
    </row>
    <row r="25" spans="1:3" ht="15.75" customHeight="1">
      <c r="A25" s="69"/>
      <c r="B25" s="69"/>
      <c r="C25" s="69"/>
    </row>
    <row r="26" spans="1:3" ht="15.75" customHeight="1">
      <c r="A26" s="69"/>
      <c r="B26" s="69"/>
      <c r="C26" s="69"/>
    </row>
    <row r="27" spans="1:3" ht="15.75" customHeight="1">
      <c r="A27" s="69"/>
      <c r="B27" s="69"/>
      <c r="C27" s="69"/>
    </row>
    <row r="28" spans="1:3" ht="15.75" customHeight="1">
      <c r="A28" s="69"/>
      <c r="B28" s="69"/>
      <c r="C28" s="69"/>
    </row>
    <row r="29" spans="1:3" ht="15.75" customHeight="1">
      <c r="A29" s="69"/>
      <c r="B29" s="69"/>
      <c r="C29" s="69"/>
    </row>
    <row r="30" spans="1:3" ht="15.75" customHeight="1">
      <c r="A30" s="69"/>
      <c r="B30" s="69"/>
      <c r="C30" s="69"/>
    </row>
    <row r="31" spans="1:3" ht="15.75" customHeight="1">
      <c r="A31" s="69"/>
      <c r="B31" s="69"/>
      <c r="C31" s="69"/>
    </row>
    <row r="32" spans="1:3" ht="15.75" customHeight="1">
      <c r="A32" s="69"/>
      <c r="B32" s="69"/>
      <c r="C32" s="69"/>
    </row>
    <row r="33" spans="1:3" ht="15.75" customHeight="1">
      <c r="A33" s="69"/>
      <c r="B33" s="69"/>
      <c r="C33" s="69"/>
    </row>
    <row r="34" spans="1:3" ht="15.75" customHeight="1">
      <c r="A34" s="69"/>
      <c r="B34" s="69"/>
      <c r="C34" s="69"/>
    </row>
    <row r="35" spans="1:3" ht="15.75" customHeight="1">
      <c r="A35" s="2"/>
      <c r="B35" s="69"/>
      <c r="C35" s="2"/>
    </row>
    <row r="36" spans="1:3" ht="15.75" customHeight="1">
      <c r="A36" s="2"/>
      <c r="B36" s="69"/>
      <c r="C36" s="2"/>
    </row>
    <row r="37" spans="1:3" ht="15.75" customHeight="1">
      <c r="A37" s="2"/>
      <c r="B37" s="2"/>
      <c r="C37" s="2"/>
    </row>
    <row r="38" spans="1:3" ht="15.75" customHeight="1">
      <c r="A38" s="2"/>
      <c r="B38" s="2"/>
      <c r="C38" s="2"/>
    </row>
    <row r="39" spans="1:3" ht="15.75" customHeight="1">
      <c r="A39" s="2"/>
      <c r="B39" s="2"/>
      <c r="C39" s="2"/>
    </row>
    <row r="40" spans="1:3" ht="15.75" customHeight="1">
      <c r="A40" s="2"/>
      <c r="B40" s="2"/>
      <c r="C40" s="2"/>
    </row>
    <row r="41" spans="1:3" ht="15.75" customHeight="1">
      <c r="A41" s="2"/>
      <c r="B41" s="2"/>
      <c r="C41" s="2"/>
    </row>
    <row r="42" spans="1:3" ht="15.75" customHeight="1">
      <c r="A42" s="2"/>
      <c r="B42" s="2"/>
      <c r="C42" s="2"/>
    </row>
    <row r="43" spans="1:3" ht="15.75" customHeight="1">
      <c r="A43" s="2"/>
      <c r="B43" s="2"/>
      <c r="C43" s="2"/>
    </row>
    <row r="44" spans="1:3" ht="15.75" customHeight="1">
      <c r="A44" s="2"/>
      <c r="B44" s="2"/>
      <c r="C44" s="2"/>
    </row>
    <row r="45" spans="1:3" ht="15.75" customHeight="1">
      <c r="A45" s="2"/>
      <c r="B45" s="2"/>
      <c r="C45" s="2"/>
    </row>
    <row r="46" spans="1:3" ht="15.75" customHeight="1">
      <c r="A46" s="2"/>
      <c r="B46" s="2"/>
      <c r="C46" s="2"/>
    </row>
    <row r="47" spans="1:3" ht="15.75" customHeight="1">
      <c r="A47" s="2"/>
      <c r="B47" s="2"/>
      <c r="C47" s="2"/>
    </row>
    <row r="48" spans="1:3" ht="15.75" customHeight="1">
      <c r="A48" s="2"/>
      <c r="B48" s="2"/>
      <c r="C48" s="2"/>
    </row>
    <row r="49" spans="1:3" ht="15.75" customHeight="1">
      <c r="A49" s="2"/>
      <c r="B49" s="2"/>
      <c r="C49" s="2"/>
    </row>
    <row r="50" spans="1:3" ht="15.75" customHeight="1">
      <c r="A50" s="2"/>
      <c r="B50" s="2"/>
      <c r="C50" s="2"/>
    </row>
    <row r="51" spans="1:3" ht="15.75" customHeight="1">
      <c r="A51" s="2"/>
      <c r="B51" s="2"/>
      <c r="C51" s="2"/>
    </row>
    <row r="52" spans="1:3" ht="15.75" customHeight="1">
      <c r="A52" s="2"/>
      <c r="B52" s="2"/>
      <c r="C52" s="2"/>
    </row>
    <row r="53" spans="1:3" ht="15.75" customHeight="1">
      <c r="A53" s="2"/>
      <c r="B53" s="2"/>
      <c r="C53" s="2"/>
    </row>
    <row r="54" spans="1:3" ht="15.75" customHeight="1">
      <c r="A54" s="2"/>
      <c r="B54" s="2"/>
      <c r="C54" s="2"/>
    </row>
    <row r="55" spans="1:3" ht="15.75" customHeight="1">
      <c r="A55" s="2"/>
      <c r="B55" s="2"/>
      <c r="C55" s="2"/>
    </row>
    <row r="56" spans="1:3" ht="15.75" customHeight="1">
      <c r="A56" s="2"/>
      <c r="B56" s="2"/>
      <c r="C56" s="2"/>
    </row>
    <row r="57" spans="1:3" ht="15.75" customHeight="1">
      <c r="A57" s="2"/>
      <c r="B57" s="2"/>
      <c r="C57" s="2"/>
    </row>
    <row r="58" spans="1:3" ht="15.75" customHeight="1">
      <c r="A58" s="2"/>
      <c r="B58" s="2"/>
      <c r="C58" s="2"/>
    </row>
    <row r="59" spans="1:3" ht="15.75" customHeight="1">
      <c r="A59" s="2"/>
      <c r="B59" s="2"/>
      <c r="C59" s="2"/>
    </row>
    <row r="60" spans="1:3" ht="15.75" customHeight="1">
      <c r="A60" s="2"/>
      <c r="B60" s="2"/>
      <c r="C60" s="2"/>
    </row>
    <row r="61" spans="1:3" ht="15.75" customHeight="1">
      <c r="A61" s="2"/>
      <c r="B61" s="2"/>
      <c r="C61" s="2"/>
    </row>
    <row r="62" spans="1:3" ht="15.75" customHeight="1">
      <c r="A62" s="2"/>
      <c r="B62" s="2"/>
      <c r="C62" s="2"/>
    </row>
    <row r="63" spans="1:3" ht="15.75" customHeight="1">
      <c r="A63" s="2"/>
      <c r="B63" s="2"/>
      <c r="C63" s="2"/>
    </row>
    <row r="64" spans="1:3" ht="15.75" customHeight="1">
      <c r="A64" s="2"/>
      <c r="B64" s="2"/>
      <c r="C64" s="2"/>
    </row>
    <row r="65" spans="1:3" ht="15.75" customHeight="1">
      <c r="A65" s="2"/>
      <c r="B65" s="2"/>
      <c r="C65" s="2"/>
    </row>
    <row r="66" spans="1:3" ht="15.75" customHeight="1">
      <c r="A66" s="2"/>
      <c r="B66" s="2"/>
      <c r="C66" s="2"/>
    </row>
    <row r="67" spans="1:3" ht="15.75" customHeight="1">
      <c r="A67" s="2"/>
      <c r="B67" s="2"/>
      <c r="C67" s="2"/>
    </row>
    <row r="68" spans="1:3" ht="15.75" customHeight="1">
      <c r="A68" s="2"/>
      <c r="B68" s="2"/>
      <c r="C68" s="2"/>
    </row>
    <row r="69" spans="1:3" ht="15.75" customHeight="1">
      <c r="A69" s="2"/>
      <c r="B69" s="2"/>
      <c r="C69" s="2"/>
    </row>
    <row r="70" spans="1:3" ht="15.75" customHeight="1">
      <c r="A70" s="2"/>
      <c r="B70" s="2"/>
      <c r="C70" s="2"/>
    </row>
    <row r="71" spans="1:3" ht="15.75" customHeight="1">
      <c r="A71" s="2"/>
      <c r="B71" s="2"/>
      <c r="C71" s="2"/>
    </row>
    <row r="72" spans="1:3" ht="15.75" customHeight="1">
      <c r="A72" s="2"/>
      <c r="B72" s="2"/>
      <c r="C72" s="2"/>
    </row>
    <row r="73" spans="1:3" ht="15.75" customHeight="1">
      <c r="A73" s="2"/>
      <c r="B73" s="2"/>
      <c r="C73" s="2"/>
    </row>
    <row r="74" spans="1:3" ht="15.75" customHeight="1">
      <c r="A74" s="2"/>
      <c r="B74" s="2"/>
      <c r="C74" s="2"/>
    </row>
    <row r="75" spans="1:3" ht="15.75" customHeight="1">
      <c r="A75" s="2"/>
      <c r="B75" s="2"/>
      <c r="C75" s="2"/>
    </row>
    <row r="76" spans="1:3" ht="15.75" customHeight="1">
      <c r="A76" s="2"/>
      <c r="B76" s="2"/>
      <c r="C76" s="2"/>
    </row>
    <row r="77" spans="1:3" ht="15.75" customHeight="1">
      <c r="A77" s="2"/>
      <c r="B77" s="2"/>
      <c r="C77" s="2"/>
    </row>
    <row r="78" spans="1:3" ht="15.75" customHeight="1">
      <c r="A78" s="2"/>
      <c r="B78" s="2"/>
      <c r="C78" s="2"/>
    </row>
    <row r="79" spans="1:3" ht="15.75" customHeight="1">
      <c r="A79" s="2"/>
      <c r="B79" s="2"/>
      <c r="C79" s="2"/>
    </row>
    <row r="80" spans="1:3" ht="15.75" customHeight="1">
      <c r="A80" s="2"/>
      <c r="B80" s="2"/>
      <c r="C80" s="2"/>
    </row>
    <row r="81" spans="1:3" ht="15.75" customHeight="1">
      <c r="A81" s="2"/>
      <c r="B81" s="2"/>
      <c r="C81" s="2"/>
    </row>
    <row r="82" spans="1:3" ht="15.75" customHeight="1">
      <c r="A82" s="2"/>
      <c r="B82" s="2"/>
      <c r="C82" s="2"/>
    </row>
    <row r="83" spans="1:3" ht="15.75" customHeight="1">
      <c r="A83" s="2"/>
      <c r="B83" s="2"/>
      <c r="C83" s="2"/>
    </row>
    <row r="84" spans="1:3" ht="15.75" customHeight="1">
      <c r="A84" s="2"/>
      <c r="B84" s="2"/>
      <c r="C84" s="2"/>
    </row>
    <row r="85" spans="1:3" ht="15.75" customHeight="1">
      <c r="A85" s="2"/>
      <c r="B85" s="2"/>
      <c r="C85" s="2"/>
    </row>
    <row r="86" spans="1:3" ht="15.75" customHeight="1">
      <c r="A86" s="2"/>
      <c r="B86" s="2"/>
      <c r="C86" s="2"/>
    </row>
    <row r="87" spans="1:3" ht="15.75" customHeight="1">
      <c r="A87" s="2"/>
      <c r="B87" s="2"/>
      <c r="C87" s="2"/>
    </row>
    <row r="88" spans="1:3" ht="15.75" customHeight="1">
      <c r="A88" s="2"/>
      <c r="B88" s="2"/>
      <c r="C88" s="2"/>
    </row>
    <row r="89" spans="1:3" ht="15.75" customHeight="1">
      <c r="A89" s="2"/>
      <c r="B89" s="2"/>
      <c r="C89" s="2"/>
    </row>
    <row r="90" spans="1:3" ht="15.75" customHeight="1">
      <c r="A90" s="2"/>
      <c r="B90" s="2"/>
      <c r="C90" s="2"/>
    </row>
    <row r="91" spans="1:3" ht="15.75" customHeight="1">
      <c r="A91" s="2"/>
      <c r="B91" s="2"/>
      <c r="C91" s="2"/>
    </row>
    <row r="92" spans="1:3" ht="15.75" customHeight="1">
      <c r="A92" s="2"/>
      <c r="B92" s="2"/>
      <c r="C92" s="2"/>
    </row>
    <row r="93" spans="1:3" ht="15.75" customHeight="1">
      <c r="A93" s="2"/>
      <c r="B93" s="2"/>
      <c r="C93" s="2"/>
    </row>
    <row r="94" spans="1:3" ht="15.75" customHeight="1">
      <c r="A94" s="2"/>
      <c r="B94" s="2"/>
      <c r="C94" s="2"/>
    </row>
    <row r="95" spans="1:3" ht="15.75" customHeight="1">
      <c r="A95" s="2"/>
      <c r="B95" s="2"/>
      <c r="C95" s="2"/>
    </row>
    <row r="96" spans="1:3" ht="15.75" customHeight="1">
      <c r="A96" s="2"/>
      <c r="B96" s="2"/>
      <c r="C96" s="2"/>
    </row>
    <row r="97" spans="1:3" ht="15.75" customHeight="1">
      <c r="A97" s="2"/>
      <c r="B97" s="2"/>
      <c r="C97" s="2"/>
    </row>
    <row r="98" spans="1:3" ht="15.75" customHeight="1">
      <c r="A98" s="2"/>
      <c r="B98" s="2"/>
      <c r="C98" s="2"/>
    </row>
    <row r="99" spans="1:3" ht="15.75" customHeight="1">
      <c r="A99" s="2"/>
      <c r="B99" s="2"/>
      <c r="C99" s="2"/>
    </row>
    <row r="100" spans="1:3" ht="15.75" customHeight="1">
      <c r="A100" s="2"/>
      <c r="B100" s="2"/>
      <c r="C100" s="2"/>
    </row>
    <row r="101" spans="1:3" ht="15.75" customHeight="1">
      <c r="A101" s="2"/>
      <c r="B101" s="2"/>
      <c r="C101" s="2"/>
    </row>
    <row r="102" spans="1:3" ht="15.75" customHeight="1">
      <c r="A102" s="2"/>
      <c r="B102" s="2"/>
      <c r="C102" s="2"/>
    </row>
    <row r="103" spans="1:3" ht="15.75" customHeight="1">
      <c r="A103" s="2"/>
      <c r="B103" s="2"/>
      <c r="C103" s="2"/>
    </row>
    <row r="104" spans="1:3" ht="15.75" customHeight="1">
      <c r="A104" s="2"/>
      <c r="B104" s="2"/>
      <c r="C104" s="2"/>
    </row>
    <row r="105" spans="1:3" ht="15.75" customHeight="1">
      <c r="A105" s="2"/>
      <c r="B105" s="2"/>
      <c r="C105" s="2"/>
    </row>
    <row r="106" spans="1:3" ht="15.75" customHeight="1">
      <c r="A106" s="2"/>
      <c r="B106" s="2"/>
      <c r="C106" s="2"/>
    </row>
    <row r="107" spans="1:3" ht="15.75" customHeight="1">
      <c r="A107" s="2"/>
      <c r="B107" s="2"/>
      <c r="C107" s="2"/>
    </row>
    <row r="108" spans="1:3" ht="15.75" customHeight="1">
      <c r="A108" s="2"/>
      <c r="B108" s="2"/>
      <c r="C108" s="2"/>
    </row>
    <row r="109" spans="1:3" ht="15.75" customHeight="1">
      <c r="A109" s="2"/>
      <c r="B109" s="2"/>
      <c r="C109" s="2"/>
    </row>
    <row r="110" spans="1:3" ht="15.75" customHeight="1">
      <c r="A110" s="2"/>
      <c r="B110" s="2"/>
      <c r="C110" s="2"/>
    </row>
    <row r="111" spans="1:3" ht="15.75" customHeight="1">
      <c r="A111" s="2"/>
      <c r="B111" s="2"/>
      <c r="C111" s="2"/>
    </row>
    <row r="112" spans="1:3" ht="15.75" customHeight="1">
      <c r="A112" s="2"/>
      <c r="B112" s="2"/>
      <c r="C112" s="2"/>
    </row>
    <row r="113" spans="1:3" ht="15.75" customHeight="1">
      <c r="A113" s="2"/>
      <c r="B113" s="2"/>
      <c r="C113" s="2"/>
    </row>
    <row r="114" spans="1:3" ht="15.75" customHeight="1">
      <c r="A114" s="2"/>
      <c r="B114" s="2"/>
      <c r="C114" s="2"/>
    </row>
    <row r="115" spans="1:3" ht="15.75" customHeight="1">
      <c r="A115" s="2"/>
      <c r="B115" s="2"/>
      <c r="C115" s="2"/>
    </row>
    <row r="116" spans="1:3" ht="15.75" customHeight="1">
      <c r="A116" s="2"/>
      <c r="B116" s="2"/>
      <c r="C116" s="2"/>
    </row>
    <row r="117" spans="1:3" ht="15.75" customHeight="1">
      <c r="A117" s="2"/>
      <c r="B117" s="2"/>
      <c r="C117" s="2"/>
    </row>
    <row r="118" spans="1:3" ht="15.75" customHeight="1">
      <c r="A118" s="2"/>
      <c r="B118" s="2"/>
      <c r="C118" s="2"/>
    </row>
    <row r="119" spans="1:3" ht="15.75" customHeight="1">
      <c r="A119" s="2"/>
      <c r="B119" s="2"/>
      <c r="C119" s="2"/>
    </row>
    <row r="120" spans="1:3" ht="15.75" customHeight="1">
      <c r="A120" s="2"/>
      <c r="B120" s="2"/>
      <c r="C120" s="2"/>
    </row>
    <row r="121" spans="1:3" ht="15.75" customHeight="1">
      <c r="A121" s="2"/>
      <c r="B121" s="2"/>
      <c r="C121" s="2"/>
    </row>
    <row r="122" spans="1:3" ht="15.75" customHeight="1">
      <c r="A122" s="2"/>
      <c r="B122" s="2"/>
      <c r="C122" s="2"/>
    </row>
    <row r="123" spans="1:3" ht="15.75" customHeight="1">
      <c r="A123" s="2"/>
      <c r="B123" s="2"/>
      <c r="C123" s="2"/>
    </row>
    <row r="124" spans="1:3" ht="15.75" customHeight="1">
      <c r="A124" s="2"/>
      <c r="B124" s="2"/>
      <c r="C124" s="2"/>
    </row>
    <row r="125" spans="1:3" ht="15.75" customHeight="1">
      <c r="A125" s="2"/>
      <c r="B125" s="2"/>
      <c r="C125" s="2"/>
    </row>
    <row r="126" spans="1:3" ht="15.75" customHeight="1">
      <c r="A126" s="2"/>
      <c r="B126" s="2"/>
      <c r="C126" s="2"/>
    </row>
    <row r="127" spans="1:3" ht="15.75" customHeight="1">
      <c r="A127" s="2"/>
      <c r="B127" s="2"/>
      <c r="C127" s="2"/>
    </row>
    <row r="128" spans="1:3" ht="15.75" customHeight="1">
      <c r="A128" s="2"/>
      <c r="B128" s="2"/>
      <c r="C128" s="2"/>
    </row>
    <row r="129" spans="1:3" ht="15.75" customHeight="1">
      <c r="A129" s="2"/>
      <c r="B129" s="2"/>
      <c r="C129" s="2"/>
    </row>
    <row r="130" spans="1:3" ht="15.75" customHeight="1">
      <c r="A130" s="2"/>
      <c r="B130" s="2"/>
      <c r="C130" s="2"/>
    </row>
    <row r="131" spans="1:3" ht="15.75" customHeight="1">
      <c r="A131" s="2"/>
      <c r="B131" s="2"/>
      <c r="C131" s="2"/>
    </row>
    <row r="132" spans="1:3" ht="15.75" customHeight="1">
      <c r="A132" s="2"/>
      <c r="B132" s="2"/>
      <c r="C132" s="2"/>
    </row>
    <row r="133" spans="1:3" ht="15.75" customHeight="1">
      <c r="A133" s="2"/>
      <c r="B133" s="2"/>
      <c r="C133" s="2"/>
    </row>
    <row r="134" spans="1:3" ht="15.75" customHeight="1">
      <c r="A134" s="2"/>
      <c r="B134" s="2"/>
      <c r="C134" s="2"/>
    </row>
    <row r="135" spans="1:3" ht="15.75" customHeight="1">
      <c r="A135" s="2"/>
      <c r="B135" s="2"/>
      <c r="C135" s="2"/>
    </row>
    <row r="136" spans="1:3" ht="15.75" customHeight="1">
      <c r="A136" s="2"/>
      <c r="B136" s="2"/>
      <c r="C136" s="2"/>
    </row>
    <row r="137" spans="1:3" ht="15.75" customHeight="1">
      <c r="A137" s="2"/>
      <c r="B137" s="2"/>
      <c r="C137" s="2"/>
    </row>
    <row r="138" spans="1:3" ht="15.75" customHeight="1">
      <c r="A138" s="2"/>
      <c r="B138" s="2"/>
      <c r="C138" s="2"/>
    </row>
    <row r="139" spans="1:3" ht="15.75" customHeight="1">
      <c r="A139" s="2"/>
      <c r="B139" s="2"/>
      <c r="C139" s="2"/>
    </row>
    <row r="140" spans="1:3" ht="15.75" customHeight="1">
      <c r="A140" s="2"/>
      <c r="B140" s="2"/>
      <c r="C140" s="2"/>
    </row>
    <row r="141" spans="1:3" ht="15.75" customHeight="1">
      <c r="A141" s="2"/>
      <c r="B141" s="2"/>
      <c r="C141" s="2"/>
    </row>
    <row r="142" spans="1:3" ht="15.75" customHeight="1">
      <c r="A142" s="2"/>
      <c r="B142" s="2"/>
      <c r="C142" s="2"/>
    </row>
    <row r="143" spans="1:3" ht="15.75" customHeight="1">
      <c r="A143" s="2"/>
      <c r="B143" s="2"/>
      <c r="C143" s="2"/>
    </row>
    <row r="144" spans="1:3" ht="15.75" customHeight="1">
      <c r="A144" s="2"/>
      <c r="B144" s="2"/>
      <c r="C144" s="2"/>
    </row>
    <row r="145" spans="1:3" ht="15.75" customHeight="1">
      <c r="A145" s="2"/>
      <c r="B145" s="2"/>
      <c r="C145" s="2"/>
    </row>
    <row r="146" spans="1:3" ht="15.75" customHeight="1">
      <c r="A146" s="2"/>
      <c r="B146" s="2"/>
      <c r="C146" s="2"/>
    </row>
    <row r="147" spans="1:3" ht="15.75" customHeight="1">
      <c r="A147" s="2"/>
      <c r="B147" s="2"/>
      <c r="C147" s="2"/>
    </row>
    <row r="148" spans="1:3" ht="15.75" customHeight="1">
      <c r="A148" s="2"/>
      <c r="B148" s="2"/>
      <c r="C148" s="2"/>
    </row>
    <row r="149" spans="1:3" ht="15.75" customHeight="1">
      <c r="A149" s="2"/>
      <c r="B149" s="2"/>
      <c r="C149" s="2"/>
    </row>
    <row r="150" spans="1:3" ht="15.75" customHeight="1">
      <c r="A150" s="2"/>
      <c r="B150" s="2"/>
      <c r="C150" s="2"/>
    </row>
    <row r="151" spans="1:3" ht="15.75" customHeight="1">
      <c r="A151" s="2"/>
      <c r="B151" s="2"/>
      <c r="C151" s="2"/>
    </row>
    <row r="152" spans="1:3" ht="15.75" customHeight="1">
      <c r="A152" s="2"/>
      <c r="B152" s="2"/>
      <c r="C152" s="2"/>
    </row>
    <row r="153" spans="1:3" ht="15.75" customHeight="1">
      <c r="A153" s="2"/>
      <c r="B153" s="2"/>
      <c r="C153" s="2"/>
    </row>
    <row r="154" spans="1:3" ht="15.75" customHeight="1">
      <c r="A154" s="2"/>
      <c r="B154" s="2"/>
      <c r="C154" s="2"/>
    </row>
    <row r="155" spans="1:3" ht="15.75" customHeight="1">
      <c r="A155" s="2"/>
      <c r="B155" s="2"/>
      <c r="C155" s="2"/>
    </row>
    <row r="156" spans="1:3" ht="15.75" customHeight="1">
      <c r="A156" s="2"/>
      <c r="B156" s="2"/>
      <c r="C156" s="2"/>
    </row>
    <row r="157" spans="1:3" ht="15.75" customHeight="1">
      <c r="A157" s="2"/>
      <c r="B157" s="2"/>
      <c r="C157" s="2"/>
    </row>
    <row r="158" spans="1:3" ht="15.75" customHeight="1">
      <c r="A158" s="2"/>
      <c r="B158" s="2"/>
      <c r="C158" s="2"/>
    </row>
    <row r="159" spans="1:3" ht="15.75" customHeight="1">
      <c r="A159" s="2"/>
      <c r="B159" s="2"/>
      <c r="C159" s="2"/>
    </row>
    <row r="160" spans="1:3" ht="15.75" customHeight="1">
      <c r="A160" s="2"/>
      <c r="B160" s="2"/>
      <c r="C160" s="2"/>
    </row>
    <row r="161" spans="1:3" ht="15.75" customHeight="1">
      <c r="A161" s="2"/>
      <c r="B161" s="2"/>
      <c r="C161" s="2"/>
    </row>
    <row r="162" spans="1:3" ht="15.75" customHeight="1">
      <c r="A162" s="2"/>
      <c r="B162" s="2"/>
      <c r="C162" s="2"/>
    </row>
    <row r="163" spans="1:3" ht="15.75" customHeight="1">
      <c r="A163" s="2"/>
      <c r="B163" s="2"/>
      <c r="C163" s="2"/>
    </row>
    <row r="164" spans="1:3" ht="15.75" customHeight="1">
      <c r="A164" s="2"/>
      <c r="B164" s="2"/>
      <c r="C164" s="2"/>
    </row>
    <row r="165" spans="1:3" ht="15.75" customHeight="1">
      <c r="A165" s="2"/>
      <c r="B165" s="2"/>
      <c r="C165" s="2"/>
    </row>
    <row r="166" spans="1:3" ht="15.75" customHeight="1">
      <c r="A166" s="2"/>
      <c r="B166" s="2"/>
      <c r="C166" s="2"/>
    </row>
    <row r="167" spans="1:3" ht="15.75" customHeight="1">
      <c r="A167" s="2"/>
      <c r="B167" s="2"/>
      <c r="C167" s="2"/>
    </row>
    <row r="168" spans="1:3" ht="15.75" customHeight="1">
      <c r="A168" s="2"/>
      <c r="B168" s="2"/>
      <c r="C168" s="2"/>
    </row>
    <row r="169" spans="1:3" ht="15.75" customHeight="1">
      <c r="A169" s="2"/>
      <c r="B169" s="2"/>
      <c r="C169" s="2"/>
    </row>
    <row r="170" spans="1:3" ht="15.75" customHeight="1">
      <c r="A170" s="2"/>
      <c r="B170" s="2"/>
      <c r="C170" s="2"/>
    </row>
    <row r="171" spans="1:3" ht="15.75" customHeight="1">
      <c r="A171" s="2"/>
      <c r="B171" s="2"/>
      <c r="C171" s="2"/>
    </row>
    <row r="172" spans="1:3" ht="15.75" customHeight="1">
      <c r="A172" s="2"/>
      <c r="B172" s="2"/>
      <c r="C172" s="2"/>
    </row>
    <row r="173" spans="1:3" ht="15.75" customHeight="1">
      <c r="A173" s="2"/>
      <c r="B173" s="2"/>
      <c r="C173" s="2"/>
    </row>
    <row r="174" spans="1:3" ht="15.75" customHeight="1">
      <c r="A174" s="2"/>
      <c r="B174" s="2"/>
      <c r="C174" s="2"/>
    </row>
    <row r="175" spans="1:3" ht="15.75" customHeight="1">
      <c r="A175" s="2"/>
      <c r="B175" s="2"/>
      <c r="C175" s="2"/>
    </row>
    <row r="176" spans="1:3" ht="15.75" customHeight="1">
      <c r="A176" s="2"/>
      <c r="B176" s="2"/>
      <c r="C176" s="2"/>
    </row>
    <row r="177" spans="1:3" ht="15.75" customHeight="1">
      <c r="A177" s="2"/>
      <c r="B177" s="2"/>
      <c r="C177" s="2"/>
    </row>
    <row r="178" spans="1:3" ht="15.75" customHeight="1">
      <c r="A178" s="2"/>
      <c r="B178" s="2"/>
      <c r="C178" s="2"/>
    </row>
    <row r="179" spans="1:3" ht="15.75" customHeight="1">
      <c r="A179" s="2"/>
      <c r="B179" s="2"/>
      <c r="C179" s="2"/>
    </row>
    <row r="180" spans="1:3" ht="15.75" customHeight="1">
      <c r="A180" s="2"/>
      <c r="B180" s="2"/>
      <c r="C180" s="2"/>
    </row>
    <row r="181" spans="1:3" ht="15.75" customHeight="1">
      <c r="A181" s="2"/>
      <c r="B181" s="2"/>
      <c r="C181" s="2"/>
    </row>
    <row r="182" spans="1:3" ht="15.75" customHeight="1">
      <c r="A182" s="2"/>
      <c r="B182" s="2"/>
      <c r="C182" s="2"/>
    </row>
    <row r="183" spans="1:3" ht="15.75" customHeight="1">
      <c r="A183" s="2"/>
      <c r="B183" s="2"/>
      <c r="C183" s="2"/>
    </row>
    <row r="184" spans="1:3" ht="15.75" customHeight="1">
      <c r="A184" s="2"/>
      <c r="B184" s="2"/>
      <c r="C184" s="2"/>
    </row>
    <row r="185" spans="1:3" ht="15.75" customHeight="1">
      <c r="A185" s="2"/>
      <c r="B185" s="2"/>
      <c r="C185" s="2"/>
    </row>
    <row r="186" spans="1:3" ht="15.75" customHeight="1">
      <c r="A186" s="2"/>
      <c r="B186" s="2"/>
      <c r="C186" s="2"/>
    </row>
    <row r="187" spans="1:3" ht="15.75" customHeight="1">
      <c r="A187" s="2"/>
      <c r="B187" s="2"/>
      <c r="C187" s="2"/>
    </row>
    <row r="188" spans="1:3" ht="15.75" customHeight="1">
      <c r="A188" s="2"/>
      <c r="B188" s="2"/>
      <c r="C188" s="2"/>
    </row>
    <row r="189" spans="1:3" ht="15.75" customHeight="1">
      <c r="A189" s="2"/>
      <c r="B189" s="2"/>
      <c r="C189" s="2"/>
    </row>
    <row r="190" spans="1:3" ht="15.75" customHeight="1">
      <c r="A190" s="2"/>
      <c r="B190" s="2"/>
      <c r="C190" s="2"/>
    </row>
    <row r="191" spans="1:3" ht="15.75" customHeight="1">
      <c r="A191" s="2"/>
      <c r="B191" s="2"/>
      <c r="C191" s="2"/>
    </row>
    <row r="192" spans="1:3" ht="15.75" customHeight="1">
      <c r="A192" s="2"/>
      <c r="B192" s="2"/>
      <c r="C192" s="2"/>
    </row>
    <row r="193" spans="1:3" ht="15.75" customHeight="1">
      <c r="A193" s="2"/>
      <c r="B193" s="2"/>
      <c r="C193" s="2"/>
    </row>
    <row r="194" spans="1:3" ht="15.75" customHeight="1">
      <c r="A194" s="2"/>
      <c r="B194" s="2"/>
      <c r="C194" s="2"/>
    </row>
    <row r="195" spans="1:3" ht="15.75" customHeight="1">
      <c r="A195" s="2"/>
      <c r="B195" s="2"/>
      <c r="C195" s="2"/>
    </row>
    <row r="196" spans="1:3" ht="15.75" customHeight="1">
      <c r="A196" s="2"/>
      <c r="B196" s="2"/>
      <c r="C196" s="2"/>
    </row>
    <row r="197" spans="1:3" ht="15.75" customHeight="1">
      <c r="A197" s="2"/>
      <c r="B197" s="2"/>
      <c r="C197" s="2"/>
    </row>
    <row r="198" spans="1:3" ht="15.75" customHeight="1">
      <c r="A198" s="2"/>
      <c r="B198" s="2"/>
      <c r="C198" s="2"/>
    </row>
    <row r="199" spans="1:3" ht="15.75" customHeight="1">
      <c r="A199" s="2"/>
      <c r="B199" s="2"/>
      <c r="C199" s="2"/>
    </row>
    <row r="200" spans="1:3" ht="15.75" customHeight="1">
      <c r="A200" s="2"/>
      <c r="B200" s="2"/>
      <c r="C200" s="2"/>
    </row>
    <row r="201" spans="1:3" ht="15.75" customHeight="1">
      <c r="A201" s="2"/>
      <c r="B201" s="2"/>
      <c r="C201" s="2"/>
    </row>
    <row r="202" spans="1:3" ht="15.75" customHeight="1">
      <c r="A202" s="2"/>
      <c r="B202" s="2"/>
      <c r="C202" s="2"/>
    </row>
    <row r="203" spans="1:3" ht="15.75" customHeight="1">
      <c r="A203" s="2"/>
      <c r="B203" s="2"/>
      <c r="C203" s="2"/>
    </row>
    <row r="204" spans="1:3" ht="15.75" customHeight="1">
      <c r="A204" s="2"/>
      <c r="B204" s="2"/>
      <c r="C204" s="2"/>
    </row>
    <row r="205" spans="1:3" ht="15.75" customHeight="1">
      <c r="A205" s="2"/>
      <c r="B205" s="2"/>
      <c r="C205" s="2"/>
    </row>
    <row r="206" spans="1:3" ht="15.75" customHeight="1">
      <c r="A206" s="2"/>
      <c r="B206" s="2"/>
      <c r="C206" s="2"/>
    </row>
    <row r="207" spans="1:3" ht="15.75" customHeight="1">
      <c r="A207" s="2"/>
      <c r="B207" s="2"/>
      <c r="C207" s="2"/>
    </row>
    <row r="208" spans="1:3" ht="15.75" customHeight="1">
      <c r="A208" s="2"/>
      <c r="B208" s="2"/>
      <c r="C208" s="2"/>
    </row>
    <row r="209" spans="1:3" ht="15.75" customHeight="1">
      <c r="A209" s="2"/>
      <c r="B209" s="2"/>
      <c r="C209" s="2"/>
    </row>
    <row r="210" spans="1:3" ht="15.75" customHeight="1">
      <c r="A210" s="2"/>
      <c r="B210" s="2"/>
      <c r="C210" s="2"/>
    </row>
    <row r="211" spans="1:3" ht="15.75" customHeight="1">
      <c r="A211" s="2"/>
      <c r="B211" s="2"/>
      <c r="C211" s="2"/>
    </row>
    <row r="212" spans="1:3" ht="15.75" customHeight="1">
      <c r="A212" s="2"/>
      <c r="B212" s="2"/>
      <c r="C212" s="2"/>
    </row>
    <row r="213" spans="1:3" ht="15.75" customHeight="1">
      <c r="A213" s="2"/>
      <c r="B213" s="2"/>
      <c r="C213" s="2"/>
    </row>
    <row r="214" spans="1:3" ht="15.75" customHeight="1">
      <c r="A214" s="2"/>
      <c r="B214" s="2"/>
      <c r="C214" s="2"/>
    </row>
    <row r="215" spans="1:3" ht="15.75" customHeight="1">
      <c r="A215" s="2"/>
      <c r="B215" s="2"/>
      <c r="C215" s="2"/>
    </row>
    <row r="216" spans="1:3" ht="15.75" customHeight="1">
      <c r="A216" s="2"/>
      <c r="B216" s="2"/>
      <c r="C216" s="2"/>
    </row>
    <row r="217" spans="1:3" ht="15.75" customHeight="1">
      <c r="A217" s="2"/>
      <c r="B217" s="2"/>
      <c r="C217" s="2"/>
    </row>
    <row r="218" spans="1:3" ht="15.75" customHeight="1">
      <c r="A218" s="2"/>
      <c r="B218" s="2"/>
      <c r="C218" s="2"/>
    </row>
    <row r="219" spans="1:3" ht="15.75" customHeight="1">
      <c r="A219" s="2"/>
      <c r="B219" s="2"/>
      <c r="C219" s="2"/>
    </row>
    <row r="220" spans="1:3" ht="15.75" customHeight="1">
      <c r="A220" s="2"/>
      <c r="B220" s="2"/>
      <c r="C220" s="2"/>
    </row>
    <row r="221" spans="1:3" ht="15.75" customHeight="1">
      <c r="A221" s="2"/>
      <c r="B221" s="2"/>
      <c r="C221" s="2"/>
    </row>
    <row r="222" spans="1:3" ht="15.75" customHeight="1">
      <c r="A222" s="2"/>
      <c r="B222" s="2"/>
      <c r="C222" s="2"/>
    </row>
    <row r="223" spans="1:3" ht="15.75" customHeight="1">
      <c r="A223" s="2"/>
      <c r="B223" s="2"/>
      <c r="C223" s="2"/>
    </row>
    <row r="224" spans="1:3" ht="15.75" customHeight="1">
      <c r="A224" s="2"/>
      <c r="B224" s="2"/>
      <c r="C224" s="2"/>
    </row>
    <row r="225" spans="1:3" ht="15.75" customHeight="1">
      <c r="A225" s="2"/>
      <c r="B225" s="2"/>
      <c r="C225" s="2"/>
    </row>
    <row r="226" spans="1:3" ht="15.75" customHeight="1">
      <c r="A226" s="2"/>
      <c r="B226" s="2"/>
      <c r="C226" s="2"/>
    </row>
    <row r="227" spans="1:3" ht="15.75" customHeight="1">
      <c r="A227" s="2"/>
      <c r="B227" s="2"/>
      <c r="C227" s="2"/>
    </row>
    <row r="228" spans="1:3" ht="15.75" customHeight="1">
      <c r="A228" s="2"/>
      <c r="B228" s="2"/>
      <c r="C228" s="2"/>
    </row>
    <row r="229" spans="1:3" ht="15.75" customHeight="1">
      <c r="A229" s="2"/>
      <c r="B229" s="2"/>
      <c r="C229" s="2"/>
    </row>
    <row r="230" spans="1:3" ht="15.75" customHeight="1">
      <c r="A230" s="2"/>
      <c r="B230" s="2"/>
      <c r="C230" s="2"/>
    </row>
    <row r="231" spans="1:3" ht="15.75" customHeight="1">
      <c r="A231" s="2"/>
      <c r="B231" s="2"/>
      <c r="C231" s="2"/>
    </row>
    <row r="232" spans="1:3" ht="15.75" customHeight="1">
      <c r="A232" s="2"/>
      <c r="B232" s="2"/>
      <c r="C232" s="2"/>
    </row>
    <row r="233" spans="1:3" ht="15.75" customHeight="1">
      <c r="A233" s="2"/>
      <c r="B233" s="2"/>
      <c r="C233" s="2"/>
    </row>
    <row r="234" spans="1:3" ht="15.75" customHeight="1">
      <c r="A234" s="2"/>
      <c r="B234" s="2"/>
      <c r="C234" s="2"/>
    </row>
    <row r="235" spans="1:3" ht="15.75" customHeight="1">
      <c r="A235" s="2"/>
      <c r="B235" s="2"/>
      <c r="C235" s="2"/>
    </row>
    <row r="236" spans="1:3" ht="15.75" customHeight="1">
      <c r="A236" s="2"/>
      <c r="B236" s="2"/>
      <c r="C236" s="2"/>
    </row>
    <row r="237" spans="1:3" ht="15.75" customHeight="1">
      <c r="A237" s="2"/>
      <c r="B237" s="2"/>
      <c r="C237" s="2"/>
    </row>
    <row r="238" spans="1:3" ht="15.75" customHeight="1">
      <c r="A238" s="2"/>
      <c r="B238" s="2"/>
      <c r="C238" s="2"/>
    </row>
    <row r="239" spans="1:3" ht="15.75" customHeight="1">
      <c r="A239" s="2"/>
      <c r="B239" s="2"/>
      <c r="C239" s="2"/>
    </row>
    <row r="240" spans="1:3" ht="15.75" customHeight="1">
      <c r="A240" s="2"/>
      <c r="B240" s="2"/>
      <c r="C240" s="2"/>
    </row>
    <row r="241" spans="1:3" ht="15.75" customHeight="1">
      <c r="A241" s="2"/>
      <c r="B241" s="2"/>
      <c r="C241" s="2"/>
    </row>
    <row r="242" spans="1:3" ht="15.75" customHeight="1">
      <c r="A242" s="2"/>
      <c r="B242" s="2"/>
      <c r="C242" s="2"/>
    </row>
    <row r="243" spans="1:3" ht="15.75" customHeight="1">
      <c r="A243" s="2"/>
      <c r="B243" s="2"/>
      <c r="C243" s="2"/>
    </row>
    <row r="244" spans="1:3" ht="15.75" customHeight="1">
      <c r="A244" s="2"/>
      <c r="B244" s="2"/>
      <c r="C244" s="2"/>
    </row>
    <row r="245" spans="1:3" ht="15.75" customHeight="1">
      <c r="A245" s="2"/>
      <c r="B245" s="2"/>
      <c r="C245" s="2"/>
    </row>
    <row r="246" spans="1:3" ht="15.75" customHeight="1">
      <c r="A246" s="2"/>
      <c r="B246" s="2"/>
      <c r="C246" s="2"/>
    </row>
    <row r="247" spans="1:3" ht="15.75" customHeight="1">
      <c r="A247" s="2"/>
      <c r="B247" s="2"/>
      <c r="C247" s="2"/>
    </row>
    <row r="248" spans="1:3" ht="15.75" customHeight="1">
      <c r="A248" s="2"/>
      <c r="B248" s="2"/>
      <c r="C248" s="2"/>
    </row>
    <row r="249" spans="1:3" ht="15.75" customHeight="1">
      <c r="A249" s="2"/>
      <c r="B249" s="2"/>
      <c r="C249" s="2"/>
    </row>
    <row r="250" spans="1:3" ht="15.75" customHeight="1">
      <c r="A250" s="2"/>
      <c r="B250" s="2"/>
      <c r="C250" s="2"/>
    </row>
    <row r="251" spans="1:3" ht="15.75" customHeight="1">
      <c r="A251" s="2"/>
      <c r="B251" s="2"/>
      <c r="C251" s="2"/>
    </row>
    <row r="252" spans="1:3" ht="15.75" customHeight="1">
      <c r="A252" s="2"/>
      <c r="B252" s="2"/>
      <c r="C252" s="2"/>
    </row>
    <row r="253" spans="1:3" ht="15.75" customHeight="1">
      <c r="A253" s="2"/>
      <c r="B253" s="2"/>
      <c r="C253" s="2"/>
    </row>
    <row r="254" spans="1:3" ht="15.75" customHeight="1">
      <c r="A254" s="2"/>
      <c r="B254" s="2"/>
      <c r="C254" s="2"/>
    </row>
    <row r="255" spans="1:3" ht="15.75" customHeight="1">
      <c r="A255" s="2"/>
      <c r="B255" s="2"/>
      <c r="C255" s="2"/>
    </row>
    <row r="256" spans="1:3" ht="15.75" customHeight="1">
      <c r="A256" s="2"/>
      <c r="B256" s="2"/>
      <c r="C256" s="2"/>
    </row>
    <row r="257" spans="1:3" ht="15.75" customHeight="1">
      <c r="A257" s="2"/>
      <c r="B257" s="2"/>
      <c r="C257" s="2"/>
    </row>
    <row r="258" spans="1:3" ht="15.75" customHeight="1">
      <c r="A258" s="2"/>
      <c r="B258" s="2"/>
      <c r="C258" s="2"/>
    </row>
    <row r="259" spans="1:3" ht="15.75" customHeight="1">
      <c r="A259" s="2"/>
      <c r="B259" s="2"/>
      <c r="C259" s="2"/>
    </row>
    <row r="260" spans="1:3" ht="15.75" customHeight="1">
      <c r="A260" s="2"/>
      <c r="B260" s="2"/>
      <c r="C260" s="2"/>
    </row>
    <row r="261" spans="1:3" ht="15.75" customHeight="1">
      <c r="A261" s="2"/>
      <c r="B261" s="2"/>
      <c r="C261" s="2"/>
    </row>
    <row r="262" spans="1:3" ht="15.75" customHeight="1">
      <c r="A262" s="2"/>
      <c r="B262" s="2"/>
      <c r="C262" s="2"/>
    </row>
    <row r="263" spans="1:3" ht="15.75" customHeight="1">
      <c r="A263" s="2"/>
      <c r="B263" s="2"/>
      <c r="C263" s="2"/>
    </row>
    <row r="264" spans="1:3" ht="15.75" customHeight="1">
      <c r="A264" s="2"/>
      <c r="B264" s="2"/>
      <c r="C264" s="2"/>
    </row>
    <row r="265" spans="1:3" ht="15.75" customHeight="1">
      <c r="A265" s="2"/>
      <c r="B265" s="2"/>
      <c r="C265" s="2"/>
    </row>
    <row r="266" spans="1:3" ht="15.75" customHeight="1">
      <c r="A266" s="2"/>
      <c r="B266" s="2"/>
      <c r="C266" s="2"/>
    </row>
    <row r="267" spans="1:3" ht="15.75" customHeight="1">
      <c r="A267" s="2"/>
      <c r="B267" s="2"/>
      <c r="C267" s="2"/>
    </row>
    <row r="268" spans="1:3" ht="15.75" customHeight="1">
      <c r="A268" s="2"/>
      <c r="B268" s="2"/>
      <c r="C268" s="2"/>
    </row>
    <row r="269" spans="1:3" ht="15.75" customHeight="1">
      <c r="A269" s="2"/>
      <c r="B269" s="2"/>
      <c r="C269" s="2"/>
    </row>
    <row r="270" spans="1:3" ht="15.75" customHeight="1">
      <c r="A270" s="2"/>
      <c r="B270" s="2"/>
      <c r="C270" s="2"/>
    </row>
    <row r="271" spans="1:3" ht="15.75" customHeight="1">
      <c r="A271" s="2"/>
      <c r="B271" s="2"/>
      <c r="C271" s="2"/>
    </row>
    <row r="272" spans="1:3" ht="15.75" customHeight="1">
      <c r="A272" s="2"/>
      <c r="B272" s="2"/>
      <c r="C272" s="2"/>
    </row>
    <row r="273" spans="1:3" ht="15.75" customHeight="1">
      <c r="A273" s="2"/>
      <c r="B273" s="2"/>
      <c r="C273" s="2"/>
    </row>
    <row r="274" spans="1:3" ht="15.75" customHeight="1">
      <c r="A274" s="2"/>
      <c r="B274" s="2"/>
      <c r="C274" s="2"/>
    </row>
    <row r="275" spans="1:3" ht="15.75" customHeight="1">
      <c r="A275" s="2"/>
      <c r="B275" s="2"/>
      <c r="C275" s="2"/>
    </row>
    <row r="276" spans="1:3" ht="15.75" customHeight="1">
      <c r="A276" s="2"/>
      <c r="B276" s="2"/>
      <c r="C276" s="2"/>
    </row>
    <row r="277" spans="1:3" ht="15.75" customHeight="1">
      <c r="A277" s="2"/>
      <c r="B277" s="2"/>
      <c r="C277" s="2"/>
    </row>
    <row r="278" spans="1:3" ht="15.75" customHeight="1">
      <c r="A278" s="2"/>
      <c r="B278" s="2"/>
      <c r="C278" s="2"/>
    </row>
    <row r="279" spans="1:3" ht="15.75" customHeight="1">
      <c r="A279" s="2"/>
      <c r="B279" s="2"/>
      <c r="C279" s="2"/>
    </row>
    <row r="280" spans="1:3" ht="15.75" customHeight="1">
      <c r="A280" s="2"/>
      <c r="B280" s="2"/>
      <c r="C280" s="2"/>
    </row>
    <row r="281" spans="1:3" ht="15.75" customHeight="1">
      <c r="A281" s="2"/>
      <c r="B281" s="2"/>
      <c r="C281" s="2"/>
    </row>
    <row r="282" spans="1:3" ht="15.75" customHeight="1">
      <c r="A282" s="2"/>
      <c r="B282" s="2"/>
      <c r="C282" s="2"/>
    </row>
    <row r="283" spans="1:3" ht="15.75" customHeight="1">
      <c r="A283" s="2"/>
      <c r="B283" s="2"/>
      <c r="C283" s="2"/>
    </row>
    <row r="284" spans="1:3" ht="15.75" customHeight="1">
      <c r="A284" s="2"/>
      <c r="B284" s="2"/>
      <c r="C284" s="2"/>
    </row>
    <row r="285" spans="1:3" ht="15.75" customHeight="1">
      <c r="A285" s="2"/>
      <c r="B285" s="2"/>
      <c r="C285" s="2"/>
    </row>
    <row r="286" spans="1:3" ht="15.75" customHeight="1">
      <c r="A286" s="2"/>
      <c r="B286" s="2"/>
      <c r="C286" s="2"/>
    </row>
    <row r="287" spans="1:3" ht="15.75" customHeight="1">
      <c r="A287" s="2"/>
      <c r="B287" s="2"/>
      <c r="C287" s="2"/>
    </row>
    <row r="288" spans="1:3" ht="15.75" customHeight="1">
      <c r="A288" s="2"/>
      <c r="B288" s="2"/>
      <c r="C288" s="2"/>
    </row>
    <row r="289" spans="1:3" ht="15.75" customHeight="1">
      <c r="A289" s="2"/>
      <c r="B289" s="2"/>
      <c r="C289" s="2"/>
    </row>
    <row r="290" spans="1:3" ht="15.75" customHeight="1">
      <c r="A290" s="2"/>
      <c r="B290" s="2"/>
      <c r="C290" s="2"/>
    </row>
    <row r="291" spans="1:3" ht="15.75" customHeight="1">
      <c r="A291" s="2"/>
      <c r="B291" s="2"/>
      <c r="C291" s="2"/>
    </row>
    <row r="292" spans="1:3" ht="15.75" customHeight="1">
      <c r="A292" s="2"/>
      <c r="B292" s="2"/>
      <c r="C292" s="2"/>
    </row>
    <row r="293" spans="1:3" ht="15.75" customHeight="1">
      <c r="A293" s="2"/>
      <c r="B293" s="2"/>
      <c r="C293" s="2"/>
    </row>
    <row r="294" spans="1:3" ht="15.75" customHeight="1">
      <c r="A294" s="2"/>
      <c r="B294" s="2"/>
      <c r="C294" s="2"/>
    </row>
    <row r="295" spans="1:3" ht="15.75" customHeight="1">
      <c r="A295" s="2"/>
      <c r="B295" s="2"/>
      <c r="C295" s="2"/>
    </row>
    <row r="296" spans="1:3" ht="15.75" customHeight="1">
      <c r="A296" s="2"/>
      <c r="B296" s="2"/>
      <c r="C296" s="2"/>
    </row>
    <row r="297" spans="1:3" ht="15.75" customHeight="1">
      <c r="A297" s="2"/>
      <c r="B297" s="2"/>
      <c r="C297" s="2"/>
    </row>
    <row r="298" spans="1:3" ht="15.75" customHeight="1">
      <c r="A298" s="2"/>
      <c r="B298" s="2"/>
      <c r="C298" s="2"/>
    </row>
    <row r="299" spans="1:3" ht="15.75" customHeight="1">
      <c r="A299" s="2"/>
      <c r="B299" s="2"/>
      <c r="C299" s="2"/>
    </row>
    <row r="300" spans="1:3" ht="15.75" customHeight="1">
      <c r="A300" s="2"/>
      <c r="B300" s="2"/>
      <c r="C300" s="2"/>
    </row>
    <row r="301" spans="1:3" ht="15.75" customHeight="1">
      <c r="A301" s="2"/>
      <c r="B301" s="2"/>
      <c r="C301" s="2"/>
    </row>
    <row r="302" spans="1:3" ht="15.75" customHeight="1">
      <c r="A302" s="2"/>
      <c r="B302" s="2"/>
      <c r="C302" s="2"/>
    </row>
    <row r="303" spans="1:3" ht="15.75" customHeight="1">
      <c r="A303" s="2"/>
      <c r="B303" s="2"/>
      <c r="C303" s="2"/>
    </row>
    <row r="304" spans="1:3" ht="15.75" customHeight="1">
      <c r="A304" s="2"/>
      <c r="B304" s="2"/>
      <c r="C304" s="2"/>
    </row>
    <row r="305" spans="1:3" ht="15.75" customHeight="1">
      <c r="A305" s="2"/>
      <c r="B305" s="2"/>
      <c r="C305" s="2"/>
    </row>
    <row r="306" spans="1:3" ht="15.75" customHeight="1">
      <c r="A306" s="2"/>
      <c r="B306" s="2"/>
      <c r="C306" s="2"/>
    </row>
    <row r="307" spans="1:3" ht="15.75" customHeight="1">
      <c r="A307" s="2"/>
      <c r="B307" s="2"/>
      <c r="C307" s="2"/>
    </row>
    <row r="308" spans="1:3" ht="15.75" customHeight="1">
      <c r="A308" s="2"/>
      <c r="B308" s="2"/>
      <c r="C308" s="2"/>
    </row>
    <row r="309" spans="1:3" ht="15.75" customHeight="1">
      <c r="A309" s="2"/>
      <c r="B309" s="2"/>
      <c r="C309" s="2"/>
    </row>
    <row r="310" spans="1:3" ht="15.75" customHeight="1">
      <c r="A310" s="2"/>
      <c r="B310" s="2"/>
      <c r="C310" s="2"/>
    </row>
    <row r="311" spans="1:3" ht="15.75" customHeight="1">
      <c r="A311" s="2"/>
      <c r="B311" s="2"/>
      <c r="C311" s="2"/>
    </row>
    <row r="312" spans="1:3" ht="15.75" customHeight="1">
      <c r="A312" s="2"/>
      <c r="B312" s="2"/>
      <c r="C312" s="2"/>
    </row>
    <row r="313" spans="1:3" ht="15.75" customHeight="1">
      <c r="A313" s="2"/>
      <c r="B313" s="2"/>
      <c r="C313" s="2"/>
    </row>
    <row r="314" spans="1:3" ht="15.75" customHeight="1">
      <c r="A314" s="2"/>
      <c r="B314" s="2"/>
      <c r="C314" s="2"/>
    </row>
    <row r="315" spans="1:3" ht="15.75" customHeight="1">
      <c r="A315" s="2"/>
      <c r="B315" s="2"/>
      <c r="C315" s="2"/>
    </row>
    <row r="316" spans="1:3" ht="15.75" customHeight="1">
      <c r="A316" s="2"/>
      <c r="B316" s="2"/>
      <c r="C316" s="2"/>
    </row>
    <row r="317" spans="1:3" ht="15.75" customHeight="1">
      <c r="A317" s="2"/>
      <c r="B317" s="2"/>
      <c r="C317" s="2"/>
    </row>
    <row r="318" spans="1:3" ht="15.75" customHeight="1">
      <c r="A318" s="2"/>
      <c r="B318" s="2"/>
      <c r="C318" s="2"/>
    </row>
    <row r="319" spans="1:3" ht="15.75" customHeight="1">
      <c r="A319" s="2"/>
      <c r="B319" s="2"/>
      <c r="C319" s="2"/>
    </row>
    <row r="320" spans="1:3" ht="15.75" customHeight="1">
      <c r="A320" s="2"/>
      <c r="B320" s="2"/>
      <c r="C320" s="2"/>
    </row>
    <row r="321" spans="1:3" ht="15.75" customHeight="1">
      <c r="A321" s="2"/>
      <c r="B321" s="2"/>
      <c r="C321" s="2"/>
    </row>
    <row r="322" spans="1:3" ht="15.75" customHeight="1">
      <c r="A322" s="2"/>
      <c r="B322" s="2"/>
      <c r="C322" s="2"/>
    </row>
    <row r="323" spans="1:3" ht="15.75" customHeight="1">
      <c r="A323" s="2"/>
      <c r="B323" s="2"/>
      <c r="C323" s="2"/>
    </row>
    <row r="324" spans="1:3" ht="15.75" customHeight="1">
      <c r="A324" s="2"/>
      <c r="B324" s="2"/>
      <c r="C324" s="2"/>
    </row>
    <row r="325" spans="1:3" ht="15.75" customHeight="1">
      <c r="A325" s="2"/>
      <c r="B325" s="2"/>
      <c r="C325" s="2"/>
    </row>
    <row r="326" spans="1:3" ht="15.75" customHeight="1">
      <c r="A326" s="2"/>
      <c r="B326" s="2"/>
      <c r="C326" s="2"/>
    </row>
    <row r="327" spans="1:3" ht="15.75" customHeight="1">
      <c r="A327" s="2"/>
      <c r="B327" s="2"/>
      <c r="C327" s="2"/>
    </row>
    <row r="328" spans="1:3" ht="15.75" customHeight="1">
      <c r="A328" s="2"/>
      <c r="B328" s="2"/>
      <c r="C328" s="2"/>
    </row>
    <row r="329" spans="1:3" ht="15.75" customHeight="1">
      <c r="A329" s="2"/>
      <c r="B329" s="2"/>
      <c r="C329" s="2"/>
    </row>
    <row r="330" spans="1:3" ht="15.75" customHeight="1">
      <c r="A330" s="2"/>
      <c r="B330" s="2"/>
      <c r="C330" s="2"/>
    </row>
    <row r="331" spans="1:3" ht="15.75" customHeight="1">
      <c r="A331" s="2"/>
      <c r="B331" s="2"/>
      <c r="C331" s="2"/>
    </row>
    <row r="332" spans="1:3" ht="15.75" customHeight="1">
      <c r="A332" s="2"/>
      <c r="B332" s="2"/>
      <c r="C332" s="2"/>
    </row>
    <row r="333" spans="1:3" ht="15.75" customHeight="1">
      <c r="A333" s="2"/>
      <c r="B333" s="2"/>
      <c r="C333" s="2"/>
    </row>
    <row r="334" spans="1:3" ht="15.75" customHeight="1">
      <c r="A334" s="2"/>
      <c r="B334" s="2"/>
      <c r="C334" s="2"/>
    </row>
    <row r="335" spans="1:3" ht="15.75" customHeight="1">
      <c r="A335" s="2"/>
      <c r="B335" s="2"/>
      <c r="C335" s="2"/>
    </row>
    <row r="336" spans="1:3" ht="15.75" customHeight="1">
      <c r="A336" s="2"/>
      <c r="B336" s="2"/>
      <c r="C336" s="2"/>
    </row>
    <row r="337" spans="1:3" ht="15.75" customHeight="1">
      <c r="A337" s="2"/>
      <c r="B337" s="2"/>
      <c r="C337" s="2"/>
    </row>
    <row r="338" spans="1:3" ht="15.75" customHeight="1">
      <c r="A338" s="2"/>
      <c r="B338" s="2"/>
      <c r="C338" s="2"/>
    </row>
    <row r="339" spans="1:3" ht="15.75" customHeight="1">
      <c r="A339" s="2"/>
      <c r="B339" s="2"/>
      <c r="C339" s="2"/>
    </row>
    <row r="340" spans="1:3" ht="15.75" customHeight="1">
      <c r="A340" s="2"/>
      <c r="B340" s="2"/>
      <c r="C340" s="2"/>
    </row>
    <row r="341" spans="1:3" ht="15.75" customHeight="1">
      <c r="A341" s="2"/>
      <c r="B341" s="2"/>
      <c r="C341" s="2"/>
    </row>
    <row r="342" spans="1:3" ht="15.75" customHeight="1">
      <c r="A342" s="2"/>
      <c r="B342" s="2"/>
      <c r="C342" s="2"/>
    </row>
    <row r="343" spans="1:3" ht="15.75" customHeight="1">
      <c r="A343" s="2"/>
      <c r="B343" s="2"/>
      <c r="C343" s="2"/>
    </row>
    <row r="344" spans="1:3" ht="15.75" customHeight="1">
      <c r="A344" s="2"/>
      <c r="B344" s="2"/>
      <c r="C344" s="2"/>
    </row>
    <row r="345" spans="1:3" ht="15.75" customHeight="1">
      <c r="A345" s="2"/>
      <c r="B345" s="2"/>
      <c r="C345" s="2"/>
    </row>
    <row r="346" spans="1:3" ht="15.75" customHeight="1">
      <c r="A346" s="2"/>
      <c r="B346" s="2"/>
      <c r="C346" s="2"/>
    </row>
    <row r="347" spans="1:3" ht="15.75" customHeight="1">
      <c r="A347" s="2"/>
      <c r="B347" s="2"/>
      <c r="C347" s="2"/>
    </row>
    <row r="348" spans="1:3" ht="15.75" customHeight="1">
      <c r="A348" s="2"/>
      <c r="B348" s="2"/>
      <c r="C348" s="2"/>
    </row>
    <row r="349" spans="1:3" ht="15.75" customHeight="1">
      <c r="A349" s="2"/>
      <c r="B349" s="2"/>
      <c r="C349" s="2"/>
    </row>
    <row r="350" spans="1:3" ht="15.75" customHeight="1">
      <c r="A350" s="2"/>
      <c r="B350" s="2"/>
      <c r="C350" s="2"/>
    </row>
    <row r="351" spans="1:3" ht="15.75" customHeight="1">
      <c r="A351" s="2"/>
      <c r="B351" s="2"/>
      <c r="C351" s="2"/>
    </row>
    <row r="352" spans="1:3" ht="15.75" customHeight="1">
      <c r="A352" s="2"/>
      <c r="B352" s="2"/>
      <c r="C352" s="2"/>
    </row>
    <row r="353" spans="1:3" ht="15.75" customHeight="1">
      <c r="A353" s="2"/>
      <c r="B353" s="2"/>
      <c r="C353" s="2"/>
    </row>
    <row r="354" spans="1:3" ht="15.75" customHeight="1">
      <c r="A354" s="2"/>
      <c r="B354" s="2"/>
      <c r="C354" s="2"/>
    </row>
    <row r="355" spans="1:3" ht="15.75" customHeight="1">
      <c r="A355" s="2"/>
      <c r="B355" s="2"/>
      <c r="C355" s="2"/>
    </row>
    <row r="356" spans="1:3" ht="15.75" customHeight="1">
      <c r="A356" s="2"/>
      <c r="B356" s="2"/>
      <c r="C356" s="2"/>
    </row>
    <row r="357" spans="1:3" ht="15.75" customHeight="1">
      <c r="A357" s="2"/>
      <c r="B357" s="2"/>
      <c r="C357" s="2"/>
    </row>
    <row r="358" spans="1:3" ht="15.75" customHeight="1">
      <c r="A358" s="2"/>
      <c r="B358" s="2"/>
      <c r="C358" s="2"/>
    </row>
    <row r="359" spans="1:3" ht="15.75" customHeight="1">
      <c r="A359" s="2"/>
      <c r="B359" s="2"/>
      <c r="C359" s="2"/>
    </row>
    <row r="360" spans="1:3" ht="15.75" customHeight="1">
      <c r="A360" s="2"/>
      <c r="B360" s="2"/>
      <c r="C360" s="2"/>
    </row>
    <row r="361" spans="1:3" ht="15.75" customHeight="1">
      <c r="A361" s="2"/>
      <c r="B361" s="2"/>
      <c r="C361" s="2"/>
    </row>
    <row r="362" spans="1:3" ht="15.75" customHeight="1">
      <c r="A362" s="2"/>
      <c r="B362" s="2"/>
      <c r="C362" s="2"/>
    </row>
    <row r="363" spans="1:3" ht="15.75" customHeight="1">
      <c r="A363" s="2"/>
      <c r="B363" s="2"/>
      <c r="C363" s="2"/>
    </row>
    <row r="364" spans="1:3" ht="15.75" customHeight="1">
      <c r="A364" s="2"/>
      <c r="B364" s="2"/>
      <c r="C364" s="2"/>
    </row>
    <row r="365" spans="1:3" ht="15.75" customHeight="1">
      <c r="A365" s="2"/>
      <c r="B365" s="2"/>
      <c r="C365" s="2"/>
    </row>
    <row r="366" spans="1:3" ht="15.75" customHeight="1">
      <c r="A366" s="2"/>
      <c r="B366" s="2"/>
      <c r="C366" s="2"/>
    </row>
    <row r="367" spans="1:3" ht="15.75" customHeight="1">
      <c r="A367" s="2"/>
      <c r="B367" s="2"/>
      <c r="C367" s="2"/>
    </row>
    <row r="368" spans="1:3" ht="15.75" customHeight="1">
      <c r="A368" s="2"/>
      <c r="B368" s="2"/>
      <c r="C368" s="2"/>
    </row>
    <row r="369" spans="1:3" ht="15.75" customHeight="1">
      <c r="A369" s="2"/>
      <c r="B369" s="2"/>
      <c r="C369" s="2"/>
    </row>
    <row r="370" spans="1:3" ht="15.75" customHeight="1">
      <c r="A370" s="2"/>
      <c r="B370" s="2"/>
      <c r="C370" s="2"/>
    </row>
    <row r="371" spans="1:3" ht="15.75" customHeight="1">
      <c r="A371" s="2"/>
      <c r="B371" s="2"/>
      <c r="C371" s="2"/>
    </row>
    <row r="372" spans="1:3" ht="15.75" customHeight="1">
      <c r="A372" s="2"/>
      <c r="B372" s="2"/>
      <c r="C372" s="2"/>
    </row>
    <row r="373" spans="1:3" ht="15.75" customHeight="1">
      <c r="A373" s="2"/>
      <c r="B373" s="2"/>
      <c r="C373" s="2"/>
    </row>
    <row r="374" spans="1:3" ht="15.75" customHeight="1">
      <c r="A374" s="2"/>
      <c r="B374" s="2"/>
      <c r="C374" s="2"/>
    </row>
    <row r="375" spans="1:3" ht="15.75" customHeight="1">
      <c r="A375" s="2"/>
      <c r="B375" s="2"/>
      <c r="C375" s="2"/>
    </row>
    <row r="376" spans="1:3" ht="15.75" customHeight="1">
      <c r="A376" s="2"/>
      <c r="B376" s="2"/>
      <c r="C376" s="2"/>
    </row>
    <row r="377" spans="1:3" ht="15.75" customHeight="1">
      <c r="A377" s="2"/>
      <c r="B377" s="2"/>
      <c r="C377" s="2"/>
    </row>
    <row r="378" spans="1:3" ht="15.75" customHeight="1">
      <c r="A378" s="2"/>
      <c r="B378" s="2"/>
      <c r="C378" s="2"/>
    </row>
    <row r="379" spans="1:3" ht="15.75" customHeight="1">
      <c r="A379" s="2"/>
      <c r="B379" s="2"/>
      <c r="C379" s="2"/>
    </row>
    <row r="380" spans="1:3" ht="15.75" customHeight="1">
      <c r="A380" s="2"/>
      <c r="B380" s="2"/>
      <c r="C380" s="2"/>
    </row>
    <row r="381" spans="1:3" ht="15.75" customHeight="1">
      <c r="A381" s="2"/>
      <c r="B381" s="2"/>
      <c r="C381" s="2"/>
    </row>
    <row r="382" spans="1:3" ht="15.75" customHeight="1">
      <c r="A382" s="2"/>
      <c r="B382" s="2"/>
      <c r="C382" s="2"/>
    </row>
    <row r="383" spans="1:3" ht="15.75" customHeight="1">
      <c r="A383" s="2"/>
      <c r="B383" s="2"/>
      <c r="C383" s="2"/>
    </row>
    <row r="384" spans="1:3" ht="15.75" customHeight="1">
      <c r="A384" s="2"/>
      <c r="B384" s="2"/>
      <c r="C384" s="2"/>
    </row>
    <row r="385" spans="1:3" ht="15.75" customHeight="1">
      <c r="A385" s="2"/>
      <c r="B385" s="2"/>
      <c r="C385" s="2"/>
    </row>
    <row r="386" spans="1:3" ht="15.75" customHeight="1">
      <c r="A386" s="2"/>
      <c r="B386" s="2"/>
      <c r="C386" s="2"/>
    </row>
    <row r="387" spans="1:3" ht="15.75" customHeight="1">
      <c r="A387" s="2"/>
      <c r="B387" s="2"/>
      <c r="C387" s="2"/>
    </row>
    <row r="388" spans="1:3" ht="15.75" customHeight="1">
      <c r="A388" s="2"/>
      <c r="B388" s="2"/>
      <c r="C388" s="2"/>
    </row>
    <row r="389" spans="1:3" ht="15.75" customHeight="1">
      <c r="A389" s="2"/>
      <c r="B389" s="2"/>
      <c r="C389" s="2"/>
    </row>
    <row r="390" spans="1:3" ht="15.75" customHeight="1">
      <c r="A390" s="2"/>
      <c r="B390" s="2"/>
      <c r="C390" s="2"/>
    </row>
    <row r="391" spans="1:3" ht="15.75" customHeight="1">
      <c r="A391" s="2"/>
      <c r="B391" s="2"/>
      <c r="C391" s="2"/>
    </row>
    <row r="392" spans="1:3" ht="15.75" customHeight="1">
      <c r="A392" s="2"/>
      <c r="B392" s="2"/>
      <c r="C392" s="2"/>
    </row>
    <row r="393" spans="1:3" ht="15.75" customHeight="1">
      <c r="A393" s="2"/>
      <c r="B393" s="2"/>
      <c r="C393" s="2"/>
    </row>
    <row r="394" spans="1:3" ht="15.75" customHeight="1">
      <c r="A394" s="2"/>
      <c r="B394" s="2"/>
      <c r="C394" s="2"/>
    </row>
    <row r="395" spans="1:3" ht="15.75" customHeight="1">
      <c r="A395" s="2"/>
      <c r="B395" s="2"/>
      <c r="C395" s="2"/>
    </row>
    <row r="396" spans="1:3" ht="15.75" customHeight="1">
      <c r="A396" s="2"/>
      <c r="B396" s="2"/>
      <c r="C396" s="2"/>
    </row>
    <row r="397" spans="1:3" ht="15.75" customHeight="1">
      <c r="A397" s="2"/>
      <c r="B397" s="2"/>
      <c r="C397" s="2"/>
    </row>
    <row r="398" spans="1:3" ht="15.75" customHeight="1">
      <c r="A398" s="2"/>
      <c r="B398" s="2"/>
      <c r="C398" s="2"/>
    </row>
    <row r="399" spans="1:3" ht="15.75" customHeight="1">
      <c r="A399" s="2"/>
      <c r="B399" s="2"/>
      <c r="C399" s="2"/>
    </row>
    <row r="400" spans="1:3" ht="15.75" customHeight="1">
      <c r="A400" s="2"/>
      <c r="B400" s="2"/>
      <c r="C400" s="2"/>
    </row>
    <row r="401" spans="1:3" ht="15.75" customHeight="1">
      <c r="A401" s="2"/>
      <c r="B401" s="2"/>
      <c r="C401" s="2"/>
    </row>
    <row r="402" spans="1:3" ht="15.75" customHeight="1">
      <c r="A402" s="2"/>
      <c r="B402" s="2"/>
      <c r="C402" s="2"/>
    </row>
    <row r="403" spans="1:3" ht="15.75" customHeight="1">
      <c r="A403" s="2"/>
      <c r="B403" s="2"/>
      <c r="C403" s="2"/>
    </row>
    <row r="404" spans="1:3" ht="15.75" customHeight="1">
      <c r="A404" s="2"/>
      <c r="B404" s="2"/>
      <c r="C404" s="2"/>
    </row>
    <row r="405" spans="1:3" ht="15.75" customHeight="1">
      <c r="A405" s="2"/>
      <c r="B405" s="2"/>
      <c r="C405" s="2"/>
    </row>
    <row r="406" spans="1:3" ht="15.75" customHeight="1">
      <c r="A406" s="2"/>
      <c r="B406" s="2"/>
      <c r="C406" s="2"/>
    </row>
    <row r="407" spans="1:3" ht="15.75" customHeight="1">
      <c r="A407" s="2"/>
      <c r="B407" s="2"/>
      <c r="C407" s="2"/>
    </row>
    <row r="408" spans="1:3" ht="15.75" customHeight="1">
      <c r="A408" s="2"/>
      <c r="B408" s="2"/>
      <c r="C408" s="2"/>
    </row>
    <row r="409" spans="1:3" ht="15.75" customHeight="1">
      <c r="A409" s="2"/>
      <c r="B409" s="2"/>
      <c r="C409" s="2"/>
    </row>
    <row r="410" spans="1:3" ht="15.75" customHeight="1">
      <c r="A410" s="2"/>
      <c r="B410" s="2"/>
      <c r="C410" s="2"/>
    </row>
    <row r="411" spans="1:3" ht="15.75" customHeight="1">
      <c r="A411" s="2"/>
      <c r="B411" s="2"/>
      <c r="C411" s="2"/>
    </row>
    <row r="412" spans="1:3" ht="15.75" customHeight="1">
      <c r="A412" s="2"/>
      <c r="B412" s="2"/>
      <c r="C412" s="2"/>
    </row>
    <row r="413" spans="1:3" ht="15.75" customHeight="1">
      <c r="A413" s="2"/>
      <c r="B413" s="2"/>
      <c r="C413" s="2"/>
    </row>
    <row r="414" spans="1:3" ht="15.75" customHeight="1">
      <c r="A414" s="2"/>
      <c r="B414" s="2"/>
      <c r="C414" s="2"/>
    </row>
    <row r="415" spans="1:3" ht="15.75" customHeight="1">
      <c r="A415" s="2"/>
      <c r="B415" s="2"/>
      <c r="C415" s="2"/>
    </row>
    <row r="416" spans="1:3" ht="15.75" customHeight="1">
      <c r="A416" s="2"/>
      <c r="B416" s="2"/>
      <c r="C416" s="2"/>
    </row>
    <row r="417" spans="1:3" ht="15.75" customHeight="1">
      <c r="A417" s="2"/>
      <c r="B417" s="2"/>
      <c r="C417" s="2"/>
    </row>
    <row r="418" spans="1:3" ht="15.75" customHeight="1">
      <c r="A418" s="2"/>
      <c r="B418" s="2"/>
      <c r="C418" s="2"/>
    </row>
    <row r="419" spans="1:3" ht="15.75" customHeight="1">
      <c r="A419" s="2"/>
      <c r="B419" s="2"/>
      <c r="C419" s="2"/>
    </row>
    <row r="420" spans="1:3" ht="15.75" customHeight="1">
      <c r="A420" s="2"/>
      <c r="B420" s="2"/>
      <c r="C420" s="2"/>
    </row>
    <row r="421" spans="1:3" ht="15.75" customHeight="1">
      <c r="A421" s="2"/>
      <c r="B421" s="2"/>
      <c r="C421" s="2"/>
    </row>
    <row r="422" spans="1:3" ht="15.75" customHeight="1">
      <c r="A422" s="2"/>
      <c r="B422" s="2"/>
      <c r="C422" s="2"/>
    </row>
    <row r="423" spans="1:3" ht="15.75" customHeight="1">
      <c r="A423" s="2"/>
      <c r="B423" s="2"/>
      <c r="C423" s="2"/>
    </row>
    <row r="424" spans="1:3" ht="15.75" customHeight="1">
      <c r="A424" s="2"/>
      <c r="B424" s="2"/>
      <c r="C424" s="2"/>
    </row>
    <row r="425" spans="1:3" ht="15.75" customHeight="1">
      <c r="A425" s="2"/>
      <c r="B425" s="2"/>
      <c r="C425" s="2"/>
    </row>
    <row r="426" spans="1:3" ht="15.75" customHeight="1">
      <c r="A426" s="2"/>
      <c r="B426" s="2"/>
      <c r="C426" s="2"/>
    </row>
    <row r="427" spans="1:3" ht="15.75" customHeight="1">
      <c r="A427" s="2"/>
      <c r="B427" s="2"/>
      <c r="C427" s="2"/>
    </row>
    <row r="428" spans="1:3" ht="15.75" customHeight="1">
      <c r="A428" s="2"/>
      <c r="B428" s="2"/>
      <c r="C428" s="2"/>
    </row>
    <row r="429" spans="1:3" ht="15.75" customHeight="1">
      <c r="A429" s="2"/>
      <c r="B429" s="2"/>
      <c r="C429" s="2"/>
    </row>
    <row r="430" spans="1:3" ht="15.75" customHeight="1">
      <c r="A430" s="2"/>
      <c r="B430" s="2"/>
      <c r="C430" s="2"/>
    </row>
    <row r="431" spans="1:3" ht="15.75" customHeight="1">
      <c r="A431" s="2"/>
      <c r="B431" s="2"/>
      <c r="C431" s="2"/>
    </row>
    <row r="432" spans="1:3" ht="15.75" customHeight="1">
      <c r="A432" s="2"/>
      <c r="B432" s="2"/>
      <c r="C432" s="2"/>
    </row>
    <row r="433" spans="1:3" ht="15.75" customHeight="1">
      <c r="A433" s="2"/>
      <c r="B433" s="2"/>
      <c r="C433" s="2"/>
    </row>
    <row r="434" spans="1:3" ht="15.75" customHeight="1">
      <c r="A434" s="2"/>
      <c r="B434" s="2"/>
      <c r="C434" s="2"/>
    </row>
    <row r="435" spans="1:3" ht="15.75" customHeight="1">
      <c r="A435" s="2"/>
      <c r="B435" s="2"/>
      <c r="C435" s="2"/>
    </row>
    <row r="436" spans="1:3" ht="15.75" customHeight="1">
      <c r="A436" s="2"/>
      <c r="B436" s="2"/>
      <c r="C436" s="2"/>
    </row>
    <row r="437" spans="1:3" ht="15.75" customHeight="1">
      <c r="A437" s="2"/>
      <c r="B437" s="2"/>
      <c r="C437" s="2"/>
    </row>
    <row r="438" spans="1:3" ht="15.75" customHeight="1">
      <c r="A438" s="2"/>
      <c r="B438" s="2"/>
      <c r="C438" s="2"/>
    </row>
    <row r="439" spans="1:3" ht="15.75" customHeight="1">
      <c r="A439" s="2"/>
      <c r="B439" s="2"/>
      <c r="C439" s="2"/>
    </row>
    <row r="440" spans="1:3" ht="15.75" customHeight="1">
      <c r="A440" s="2"/>
      <c r="B440" s="2"/>
      <c r="C440" s="2"/>
    </row>
    <row r="441" spans="1:3" ht="15.75" customHeight="1">
      <c r="A441" s="2"/>
      <c r="B441" s="2"/>
      <c r="C441" s="2"/>
    </row>
    <row r="442" spans="1:3" ht="15.75" customHeight="1">
      <c r="A442" s="2"/>
      <c r="B442" s="2"/>
      <c r="C442" s="2"/>
    </row>
    <row r="443" spans="1:3" ht="15.75" customHeight="1">
      <c r="A443" s="2"/>
      <c r="B443" s="2"/>
      <c r="C443" s="2"/>
    </row>
    <row r="444" spans="1:3" ht="15.75" customHeight="1">
      <c r="A444" s="2"/>
      <c r="B444" s="2"/>
      <c r="C444" s="2"/>
    </row>
    <row r="445" spans="1:3" ht="15.75" customHeight="1">
      <c r="A445" s="2"/>
      <c r="B445" s="2"/>
      <c r="C445" s="2"/>
    </row>
    <row r="446" spans="1:3" ht="15.75" customHeight="1">
      <c r="A446" s="2"/>
      <c r="B446" s="2"/>
      <c r="C446" s="2"/>
    </row>
    <row r="447" spans="1:3" ht="15.75" customHeight="1">
      <c r="A447" s="2"/>
      <c r="B447" s="2"/>
      <c r="C447" s="2"/>
    </row>
    <row r="448" spans="1:3" ht="15.75" customHeight="1">
      <c r="A448" s="2"/>
      <c r="B448" s="2"/>
      <c r="C448" s="2"/>
    </row>
    <row r="449" spans="1:3" ht="15.75" customHeight="1">
      <c r="A449" s="2"/>
      <c r="B449" s="2"/>
      <c r="C449" s="2"/>
    </row>
    <row r="450" spans="1:3" ht="15.75" customHeight="1">
      <c r="A450" s="2"/>
      <c r="B450" s="2"/>
      <c r="C450" s="2"/>
    </row>
    <row r="451" spans="1:3" ht="15.75" customHeight="1">
      <c r="A451" s="2"/>
      <c r="B451" s="2"/>
      <c r="C451" s="2"/>
    </row>
    <row r="452" spans="1:3" ht="15.75" customHeight="1">
      <c r="A452" s="2"/>
      <c r="B452" s="2"/>
      <c r="C452" s="2"/>
    </row>
    <row r="453" spans="1:3" ht="15.75" customHeight="1">
      <c r="A453" s="2"/>
      <c r="B453" s="2"/>
      <c r="C453" s="2"/>
    </row>
    <row r="454" spans="1:3" ht="15.75" customHeight="1">
      <c r="A454" s="2"/>
      <c r="B454" s="2"/>
      <c r="C454" s="2"/>
    </row>
    <row r="455" spans="1:3" ht="15.75" customHeight="1">
      <c r="A455" s="2"/>
      <c r="B455" s="2"/>
      <c r="C455" s="2"/>
    </row>
    <row r="456" spans="1:3" ht="15.75" customHeight="1">
      <c r="A456" s="2"/>
      <c r="B456" s="2"/>
      <c r="C456" s="2"/>
    </row>
    <row r="457" spans="1:3" ht="15.75" customHeight="1">
      <c r="A457" s="2"/>
      <c r="B457" s="2"/>
      <c r="C457" s="2"/>
    </row>
    <row r="458" spans="1:3" ht="15.75" customHeight="1">
      <c r="A458" s="2"/>
      <c r="B458" s="2"/>
      <c r="C458" s="2"/>
    </row>
    <row r="459" spans="1:3" ht="15.75" customHeight="1">
      <c r="A459" s="2"/>
      <c r="B459" s="2"/>
      <c r="C459" s="2"/>
    </row>
    <row r="460" spans="1:3" ht="15.75" customHeight="1">
      <c r="A460" s="2"/>
      <c r="B460" s="2"/>
      <c r="C460" s="2"/>
    </row>
    <row r="461" spans="1:3" ht="15.75" customHeight="1">
      <c r="A461" s="2"/>
      <c r="B461" s="2"/>
      <c r="C461" s="2"/>
    </row>
    <row r="462" spans="1:3" ht="15.75" customHeight="1">
      <c r="A462" s="2"/>
      <c r="B462" s="2"/>
      <c r="C462" s="2"/>
    </row>
    <row r="463" spans="1:3" ht="15.75" customHeight="1">
      <c r="A463" s="2"/>
      <c r="B463" s="2"/>
      <c r="C463" s="2"/>
    </row>
    <row r="464" spans="1:3" ht="15.75" customHeight="1">
      <c r="A464" s="2"/>
      <c r="B464" s="2"/>
      <c r="C464" s="2"/>
    </row>
    <row r="465" spans="1:3" ht="15.75" customHeight="1">
      <c r="A465" s="2"/>
      <c r="B465" s="2"/>
      <c r="C465" s="2"/>
    </row>
    <row r="466" spans="1:3" ht="15.75" customHeight="1">
      <c r="A466" s="2"/>
      <c r="B466" s="2"/>
      <c r="C466" s="2"/>
    </row>
    <row r="467" spans="1:3" ht="15.75" customHeight="1">
      <c r="A467" s="2"/>
      <c r="B467" s="2"/>
      <c r="C467" s="2"/>
    </row>
    <row r="468" spans="1:3" ht="15.75" customHeight="1">
      <c r="A468" s="2"/>
      <c r="B468" s="2"/>
      <c r="C468" s="2"/>
    </row>
    <row r="469" spans="1:3" ht="15.75" customHeight="1">
      <c r="A469" s="2"/>
      <c r="B469" s="2"/>
      <c r="C469" s="2"/>
    </row>
    <row r="470" spans="1:3" ht="15.75" customHeight="1">
      <c r="A470" s="2"/>
      <c r="B470" s="2"/>
      <c r="C470" s="2"/>
    </row>
    <row r="471" spans="1:3" ht="15.75" customHeight="1">
      <c r="A471" s="2"/>
      <c r="B471" s="2"/>
      <c r="C471" s="2"/>
    </row>
    <row r="472" spans="1:3" ht="15.75" customHeight="1">
      <c r="A472" s="2"/>
      <c r="B472" s="2"/>
      <c r="C472" s="2"/>
    </row>
    <row r="473" spans="1:3" ht="15.75" customHeight="1">
      <c r="A473" s="2"/>
      <c r="B473" s="2"/>
      <c r="C473" s="2"/>
    </row>
    <row r="474" spans="1:3" ht="15.75" customHeight="1">
      <c r="A474" s="2"/>
      <c r="B474" s="2"/>
      <c r="C474" s="2"/>
    </row>
    <row r="475" spans="1:3" ht="15.75" customHeight="1">
      <c r="A475" s="2"/>
      <c r="B475" s="2"/>
      <c r="C475" s="2"/>
    </row>
    <row r="476" spans="1:3" ht="15.75" customHeight="1">
      <c r="A476" s="2"/>
      <c r="B476" s="2"/>
      <c r="C476" s="2"/>
    </row>
    <row r="477" spans="1:3" ht="15.75" customHeight="1">
      <c r="A477" s="2"/>
      <c r="B477" s="2"/>
      <c r="C477" s="2"/>
    </row>
    <row r="478" spans="1:3" ht="15.75" customHeight="1">
      <c r="A478" s="2"/>
      <c r="B478" s="2"/>
      <c r="C478" s="2"/>
    </row>
    <row r="479" spans="1:3" ht="15.75" customHeight="1">
      <c r="A479" s="2"/>
      <c r="B479" s="2"/>
      <c r="C479" s="2"/>
    </row>
    <row r="480" spans="1:3" ht="15.75" customHeight="1">
      <c r="A480" s="2"/>
      <c r="B480" s="2"/>
      <c r="C480" s="2"/>
    </row>
    <row r="481" spans="1:3" ht="15.75" customHeight="1">
      <c r="A481" s="2"/>
      <c r="B481" s="2"/>
      <c r="C481" s="2"/>
    </row>
    <row r="482" spans="1:3" ht="15.75" customHeight="1">
      <c r="A482" s="2"/>
      <c r="B482" s="2"/>
      <c r="C482" s="2"/>
    </row>
    <row r="483" spans="1:3" ht="15.75" customHeight="1">
      <c r="A483" s="2"/>
      <c r="B483" s="2"/>
      <c r="C483" s="2"/>
    </row>
    <row r="484" spans="1:3" ht="15.75" customHeight="1">
      <c r="A484" s="2"/>
      <c r="B484" s="2"/>
      <c r="C484" s="2"/>
    </row>
    <row r="485" spans="1:3" ht="15.75" customHeight="1">
      <c r="A485" s="2"/>
      <c r="B485" s="2"/>
      <c r="C485" s="2"/>
    </row>
    <row r="486" spans="1:3" ht="15.75" customHeight="1">
      <c r="A486" s="2"/>
      <c r="B486" s="2"/>
      <c r="C486" s="2"/>
    </row>
    <row r="487" spans="1:3" ht="15.75" customHeight="1">
      <c r="A487" s="2"/>
      <c r="B487" s="2"/>
      <c r="C487" s="2"/>
    </row>
    <row r="488" spans="1:3" ht="15.75" customHeight="1">
      <c r="A488" s="2"/>
      <c r="B488" s="2"/>
      <c r="C488" s="2"/>
    </row>
    <row r="489" spans="1:3" ht="15.75" customHeight="1">
      <c r="A489" s="2"/>
      <c r="B489" s="2"/>
      <c r="C489" s="2"/>
    </row>
    <row r="490" spans="1:3" ht="15.75" customHeight="1">
      <c r="A490" s="2"/>
      <c r="B490" s="2"/>
      <c r="C490" s="2"/>
    </row>
    <row r="491" spans="1:3" ht="15.75" customHeight="1">
      <c r="A491" s="2"/>
      <c r="B491" s="2"/>
      <c r="C491" s="2"/>
    </row>
    <row r="492" spans="1:3" ht="15.75" customHeight="1">
      <c r="A492" s="2"/>
      <c r="B492" s="2"/>
      <c r="C492" s="2"/>
    </row>
    <row r="493" spans="1:3" ht="15.75" customHeight="1">
      <c r="A493" s="2"/>
      <c r="B493" s="2"/>
      <c r="C493" s="2"/>
    </row>
    <row r="494" spans="1:3" ht="15.75" customHeight="1">
      <c r="A494" s="2"/>
      <c r="B494" s="2"/>
      <c r="C494" s="2"/>
    </row>
    <row r="495" spans="1:3" ht="15.75" customHeight="1">
      <c r="A495" s="2"/>
      <c r="B495" s="2"/>
      <c r="C495" s="2"/>
    </row>
    <row r="496" spans="1:3" ht="15.75" customHeight="1">
      <c r="A496" s="2"/>
      <c r="B496" s="2"/>
      <c r="C496" s="2"/>
    </row>
    <row r="497" spans="1:3" ht="15.75" customHeight="1">
      <c r="A497" s="2"/>
      <c r="B497" s="2"/>
      <c r="C497" s="2"/>
    </row>
    <row r="498" spans="1:3" ht="15.75" customHeight="1">
      <c r="A498" s="2"/>
      <c r="B498" s="2"/>
      <c r="C498" s="2"/>
    </row>
    <row r="499" spans="1:3" ht="15.75" customHeight="1">
      <c r="A499" s="2"/>
      <c r="B499" s="2"/>
      <c r="C499" s="2"/>
    </row>
    <row r="500" spans="1:3" ht="15.75" customHeight="1">
      <c r="A500" s="2"/>
      <c r="B500" s="2"/>
      <c r="C500" s="2"/>
    </row>
    <row r="501" spans="1:3" ht="15.75" customHeight="1">
      <c r="A501" s="2"/>
      <c r="B501" s="2"/>
      <c r="C501" s="2"/>
    </row>
    <row r="502" spans="1:3" ht="15.75" customHeight="1">
      <c r="A502" s="2"/>
      <c r="B502" s="2"/>
      <c r="C502" s="2"/>
    </row>
    <row r="503" spans="1:3" ht="15.75" customHeight="1">
      <c r="A503" s="2"/>
      <c r="B503" s="2"/>
      <c r="C503" s="2"/>
    </row>
    <row r="504" spans="1:3" ht="15.75" customHeight="1">
      <c r="A504" s="2"/>
      <c r="B504" s="2"/>
      <c r="C504" s="2"/>
    </row>
    <row r="505" spans="1:3" ht="15.75" customHeight="1">
      <c r="A505" s="2"/>
      <c r="B505" s="2"/>
      <c r="C505" s="2"/>
    </row>
    <row r="506" spans="1:3" ht="15.75" customHeight="1">
      <c r="A506" s="2"/>
      <c r="B506" s="2"/>
      <c r="C506" s="2"/>
    </row>
    <row r="507" spans="1:3" ht="15.75" customHeight="1">
      <c r="A507" s="2"/>
      <c r="B507" s="2"/>
      <c r="C507" s="2"/>
    </row>
    <row r="508" spans="1:3" ht="15.75" customHeight="1">
      <c r="A508" s="2"/>
      <c r="B508" s="2"/>
      <c r="C508" s="2"/>
    </row>
    <row r="509" spans="1:3" ht="15.75" customHeight="1">
      <c r="A509" s="2"/>
      <c r="B509" s="2"/>
      <c r="C509" s="2"/>
    </row>
    <row r="510" spans="1:3" ht="15.75" customHeight="1">
      <c r="A510" s="2"/>
      <c r="B510" s="2"/>
      <c r="C510" s="2"/>
    </row>
    <row r="511" spans="1:3" ht="15.75" customHeight="1">
      <c r="A511" s="2"/>
      <c r="B511" s="2"/>
      <c r="C511" s="2"/>
    </row>
    <row r="512" spans="1:3" ht="15.75" customHeight="1">
      <c r="A512" s="2"/>
      <c r="B512" s="2"/>
      <c r="C512" s="2"/>
    </row>
    <row r="513" spans="1:3" ht="15.75" customHeight="1">
      <c r="A513" s="2"/>
      <c r="B513" s="2"/>
      <c r="C513" s="2"/>
    </row>
    <row r="514" spans="1:3" ht="15.75" customHeight="1">
      <c r="A514" s="2"/>
      <c r="B514" s="2"/>
      <c r="C514" s="2"/>
    </row>
    <row r="515" spans="1:3" ht="15.75" customHeight="1">
      <c r="A515" s="2"/>
      <c r="B515" s="2"/>
      <c r="C515" s="2"/>
    </row>
    <row r="516" spans="1:3" ht="15.75" customHeight="1">
      <c r="A516" s="2"/>
      <c r="B516" s="2"/>
      <c r="C516" s="2"/>
    </row>
    <row r="517" spans="1:3" ht="15.75" customHeight="1">
      <c r="A517" s="2"/>
      <c r="B517" s="2"/>
      <c r="C517" s="2"/>
    </row>
    <row r="518" spans="1:3" ht="15.75" customHeight="1">
      <c r="A518" s="2"/>
      <c r="B518" s="2"/>
      <c r="C518" s="2"/>
    </row>
    <row r="519" spans="1:3" ht="15.75" customHeight="1">
      <c r="A519" s="2"/>
      <c r="B519" s="2"/>
      <c r="C519" s="2"/>
    </row>
    <row r="520" spans="1:3" ht="15.75" customHeight="1">
      <c r="A520" s="2"/>
      <c r="B520" s="2"/>
      <c r="C520" s="2"/>
    </row>
    <row r="521" spans="1:3" ht="15.75" customHeight="1">
      <c r="A521" s="2"/>
      <c r="B521" s="2"/>
      <c r="C521" s="2"/>
    </row>
    <row r="522" spans="1:3" ht="15.75" customHeight="1">
      <c r="A522" s="2"/>
      <c r="B522" s="2"/>
      <c r="C522" s="2"/>
    </row>
    <row r="523" spans="1:3" ht="15.75" customHeight="1">
      <c r="A523" s="2"/>
      <c r="B523" s="2"/>
      <c r="C523" s="2"/>
    </row>
    <row r="524" spans="1:3" ht="15.75" customHeight="1">
      <c r="A524" s="2"/>
      <c r="B524" s="2"/>
      <c r="C524" s="2"/>
    </row>
    <row r="525" spans="1:3" ht="15.75" customHeight="1">
      <c r="A525" s="2"/>
      <c r="B525" s="2"/>
      <c r="C525" s="2"/>
    </row>
    <row r="526" spans="1:3" ht="15.75" customHeight="1">
      <c r="A526" s="2"/>
      <c r="B526" s="2"/>
      <c r="C526" s="2"/>
    </row>
    <row r="527" spans="1:3" ht="15.75" customHeight="1">
      <c r="A527" s="2"/>
      <c r="B527" s="2"/>
      <c r="C527" s="2"/>
    </row>
    <row r="528" spans="1:3" ht="15.75" customHeight="1">
      <c r="A528" s="2"/>
      <c r="B528" s="2"/>
      <c r="C528" s="2"/>
    </row>
    <row r="529" spans="1:3" ht="15.75" customHeight="1">
      <c r="A529" s="2"/>
      <c r="B529" s="2"/>
      <c r="C529" s="2"/>
    </row>
    <row r="530" spans="1:3" ht="15.75" customHeight="1">
      <c r="A530" s="2"/>
      <c r="B530" s="2"/>
      <c r="C530" s="2"/>
    </row>
    <row r="531" spans="1:3" ht="15.75" customHeight="1">
      <c r="A531" s="2"/>
      <c r="B531" s="2"/>
      <c r="C531" s="2"/>
    </row>
    <row r="532" spans="1:3" ht="15.75" customHeight="1">
      <c r="A532" s="2"/>
      <c r="B532" s="2"/>
      <c r="C532" s="2"/>
    </row>
    <row r="533" spans="1:3" ht="15.75" customHeight="1">
      <c r="A533" s="2"/>
      <c r="B533" s="2"/>
      <c r="C533" s="2"/>
    </row>
    <row r="534" spans="1:3" ht="15.75" customHeight="1">
      <c r="A534" s="2"/>
      <c r="B534" s="2"/>
      <c r="C534" s="2"/>
    </row>
    <row r="535" spans="1:3" ht="15.75" customHeight="1">
      <c r="A535" s="2"/>
      <c r="B535" s="2"/>
      <c r="C535" s="2"/>
    </row>
    <row r="536" spans="1:3" ht="15.75" customHeight="1">
      <c r="A536" s="2"/>
      <c r="B536" s="2"/>
      <c r="C536" s="2"/>
    </row>
    <row r="537" spans="1:3" ht="15.75" customHeight="1">
      <c r="A537" s="2"/>
      <c r="B537" s="2"/>
      <c r="C537" s="2"/>
    </row>
    <row r="538" spans="1:3" ht="15.75" customHeight="1">
      <c r="A538" s="2"/>
      <c r="B538" s="2"/>
      <c r="C538" s="2"/>
    </row>
    <row r="539" spans="1:3" ht="15.75" customHeight="1">
      <c r="A539" s="2"/>
      <c r="B539" s="2"/>
      <c r="C539" s="2"/>
    </row>
    <row r="540" spans="1:3" ht="15.75" customHeight="1">
      <c r="A540" s="2"/>
      <c r="B540" s="2"/>
      <c r="C540" s="2"/>
    </row>
    <row r="541" spans="1:3" ht="15.75" customHeight="1">
      <c r="A541" s="2"/>
      <c r="B541" s="2"/>
      <c r="C541" s="2"/>
    </row>
    <row r="542" spans="1:3" ht="15.75" customHeight="1">
      <c r="A542" s="2"/>
      <c r="B542" s="2"/>
      <c r="C542" s="2"/>
    </row>
    <row r="543" spans="1:3" ht="15.75" customHeight="1">
      <c r="A543" s="2"/>
      <c r="B543" s="2"/>
      <c r="C543" s="2"/>
    </row>
    <row r="544" spans="1:3" ht="15.75" customHeight="1">
      <c r="A544" s="2"/>
      <c r="B544" s="2"/>
      <c r="C544" s="2"/>
    </row>
    <row r="545" spans="1:3" ht="15.75" customHeight="1">
      <c r="A545" s="2"/>
      <c r="B545" s="2"/>
      <c r="C545" s="2"/>
    </row>
    <row r="546" spans="1:3" ht="15.75" customHeight="1">
      <c r="A546" s="2"/>
      <c r="B546" s="2"/>
      <c r="C546" s="2"/>
    </row>
    <row r="547" spans="1:3" ht="15.75" customHeight="1">
      <c r="A547" s="2"/>
      <c r="B547" s="2"/>
      <c r="C547" s="2"/>
    </row>
    <row r="548" spans="1:3" ht="15.75" customHeight="1">
      <c r="A548" s="2"/>
      <c r="B548" s="2"/>
      <c r="C548" s="2"/>
    </row>
    <row r="549" spans="1:3" ht="15.75" customHeight="1">
      <c r="A549" s="2"/>
      <c r="B549" s="2"/>
      <c r="C549" s="2"/>
    </row>
    <row r="550" spans="1:3" ht="15.75" customHeight="1">
      <c r="A550" s="2"/>
      <c r="B550" s="2"/>
      <c r="C550" s="2"/>
    </row>
    <row r="551" spans="1:3" ht="15.75" customHeight="1">
      <c r="A551" s="2"/>
      <c r="B551" s="2"/>
      <c r="C551" s="2"/>
    </row>
    <row r="552" spans="1:3" ht="15.75" customHeight="1">
      <c r="A552" s="2"/>
      <c r="B552" s="2"/>
      <c r="C552" s="2"/>
    </row>
    <row r="553" spans="1:3" ht="15.75" customHeight="1">
      <c r="A553" s="2"/>
      <c r="B553" s="2"/>
      <c r="C553" s="2"/>
    </row>
    <row r="554" spans="1:3" ht="15.75" customHeight="1">
      <c r="A554" s="2"/>
      <c r="B554" s="2"/>
      <c r="C554" s="2"/>
    </row>
    <row r="555" spans="1:3" ht="15.75" customHeight="1">
      <c r="A555" s="2"/>
      <c r="B555" s="2"/>
      <c r="C555" s="2"/>
    </row>
    <row r="556" spans="1:3" ht="15.75" customHeight="1">
      <c r="A556" s="2"/>
      <c r="B556" s="2"/>
      <c r="C556" s="2"/>
    </row>
    <row r="557" spans="1:3" ht="15.75" customHeight="1">
      <c r="A557" s="2"/>
      <c r="B557" s="2"/>
      <c r="C557" s="2"/>
    </row>
    <row r="558" spans="1:3" ht="15.75" customHeight="1">
      <c r="A558" s="2"/>
      <c r="B558" s="2"/>
      <c r="C558" s="2"/>
    </row>
    <row r="559" spans="1:3" ht="15.75" customHeight="1">
      <c r="A559" s="2"/>
      <c r="B559" s="2"/>
      <c r="C559" s="2"/>
    </row>
    <row r="560" spans="1:3" ht="15.75" customHeight="1">
      <c r="A560" s="2"/>
      <c r="B560" s="2"/>
      <c r="C560" s="2"/>
    </row>
    <row r="561" spans="1:3" ht="15.75" customHeight="1">
      <c r="A561" s="2"/>
      <c r="B561" s="2"/>
      <c r="C561" s="2"/>
    </row>
    <row r="562" spans="1:3" ht="15.75" customHeight="1">
      <c r="A562" s="2"/>
      <c r="B562" s="2"/>
      <c r="C562" s="2"/>
    </row>
    <row r="563" spans="1:3" ht="15.75" customHeight="1">
      <c r="A563" s="2"/>
      <c r="B563" s="2"/>
      <c r="C563" s="2"/>
    </row>
    <row r="564" spans="1:3" ht="15.75" customHeight="1">
      <c r="A564" s="2"/>
      <c r="B564" s="2"/>
      <c r="C564" s="2"/>
    </row>
    <row r="565" spans="1:3" ht="15.75" customHeight="1">
      <c r="A565" s="2"/>
      <c r="B565" s="2"/>
      <c r="C565" s="2"/>
    </row>
    <row r="566" spans="1:3" ht="15.75" customHeight="1">
      <c r="A566" s="2"/>
      <c r="B566" s="2"/>
      <c r="C566" s="2"/>
    </row>
    <row r="567" spans="1:3" ht="15.75" customHeight="1">
      <c r="A567" s="2"/>
      <c r="B567" s="2"/>
      <c r="C567" s="2"/>
    </row>
    <row r="568" spans="1:3" ht="15.75" customHeight="1">
      <c r="A568" s="2"/>
      <c r="B568" s="2"/>
      <c r="C568" s="2"/>
    </row>
    <row r="569" spans="1:3" ht="15.75" customHeight="1">
      <c r="A569" s="2"/>
      <c r="B569" s="2"/>
      <c r="C569" s="2"/>
    </row>
    <row r="570" spans="1:3" ht="15.75" customHeight="1">
      <c r="A570" s="2"/>
      <c r="B570" s="2"/>
      <c r="C570" s="2"/>
    </row>
    <row r="571" spans="1:3" ht="15.75" customHeight="1">
      <c r="A571" s="2"/>
      <c r="B571" s="2"/>
      <c r="C571" s="2"/>
    </row>
    <row r="572" spans="1:3" ht="15.75" customHeight="1">
      <c r="A572" s="2"/>
      <c r="B572" s="2"/>
      <c r="C572" s="2"/>
    </row>
    <row r="573" spans="1:3" ht="15.75" customHeight="1">
      <c r="A573" s="2"/>
      <c r="B573" s="2"/>
      <c r="C573" s="2"/>
    </row>
    <row r="574" spans="1:3" ht="15.75" customHeight="1">
      <c r="A574" s="2"/>
      <c r="B574" s="2"/>
      <c r="C574" s="2"/>
    </row>
    <row r="575" spans="1:3" ht="15.75" customHeight="1">
      <c r="A575" s="2"/>
      <c r="B575" s="2"/>
      <c r="C575" s="2"/>
    </row>
    <row r="576" spans="1:3" ht="15.75" customHeight="1">
      <c r="A576" s="2"/>
      <c r="B576" s="2"/>
      <c r="C576" s="2"/>
    </row>
    <row r="577" spans="1:3" ht="15.75" customHeight="1">
      <c r="A577" s="2"/>
      <c r="B577" s="2"/>
      <c r="C577" s="2"/>
    </row>
    <row r="578" spans="1:3" ht="15.75" customHeight="1">
      <c r="A578" s="2"/>
      <c r="B578" s="2"/>
      <c r="C578" s="2"/>
    </row>
    <row r="579" spans="1:3" ht="15.75" customHeight="1">
      <c r="A579" s="2"/>
      <c r="B579" s="2"/>
      <c r="C579" s="2"/>
    </row>
    <row r="580" spans="1:3" ht="15.75" customHeight="1">
      <c r="A580" s="2"/>
      <c r="B580" s="2"/>
      <c r="C580" s="2"/>
    </row>
    <row r="581" spans="1:3" ht="15.75" customHeight="1">
      <c r="A581" s="2"/>
      <c r="B581" s="2"/>
      <c r="C581" s="2"/>
    </row>
    <row r="582" spans="1:3" ht="15.75" customHeight="1">
      <c r="A582" s="2"/>
      <c r="B582" s="2"/>
      <c r="C582" s="2"/>
    </row>
    <row r="583" spans="1:3" ht="15.75" customHeight="1">
      <c r="A583" s="2"/>
      <c r="B583" s="2"/>
      <c r="C583" s="2"/>
    </row>
    <row r="584" spans="1:3" ht="15.75" customHeight="1">
      <c r="A584" s="2"/>
      <c r="B584" s="2"/>
      <c r="C584" s="2"/>
    </row>
    <row r="585" spans="1:3" ht="15.75" customHeight="1">
      <c r="A585" s="2"/>
      <c r="B585" s="2"/>
      <c r="C585" s="2"/>
    </row>
    <row r="586" spans="1:3" ht="15.75" customHeight="1">
      <c r="A586" s="2"/>
      <c r="B586" s="2"/>
      <c r="C586" s="2"/>
    </row>
    <row r="587" spans="1:3" ht="15.75" customHeight="1">
      <c r="A587" s="2"/>
      <c r="B587" s="2"/>
      <c r="C587" s="2"/>
    </row>
    <row r="588" spans="1:3" ht="15.75" customHeight="1">
      <c r="A588" s="2"/>
      <c r="B588" s="2"/>
      <c r="C588" s="2"/>
    </row>
    <row r="589" spans="1:3" ht="15.75" customHeight="1">
      <c r="A589" s="2"/>
      <c r="B589" s="2"/>
      <c r="C589" s="2"/>
    </row>
    <row r="590" spans="1:3" ht="15.75" customHeight="1">
      <c r="A590" s="2"/>
      <c r="B590" s="2"/>
      <c r="C590" s="2"/>
    </row>
    <row r="591" spans="1:3" ht="15.75" customHeight="1">
      <c r="A591" s="2"/>
      <c r="B591" s="2"/>
      <c r="C591" s="2"/>
    </row>
    <row r="592" spans="1:3" ht="15.75" customHeight="1">
      <c r="A592" s="2"/>
      <c r="B592" s="2"/>
      <c r="C592" s="2"/>
    </row>
    <row r="593" spans="1:3" ht="15.75" customHeight="1">
      <c r="A593" s="2"/>
      <c r="B593" s="2"/>
      <c r="C593" s="2"/>
    </row>
    <row r="594" spans="1:3" ht="15.75" customHeight="1">
      <c r="A594" s="2"/>
      <c r="B594" s="2"/>
      <c r="C594" s="2"/>
    </row>
    <row r="595" spans="1:3" ht="15.75" customHeight="1">
      <c r="A595" s="2"/>
      <c r="B595" s="2"/>
      <c r="C595" s="2"/>
    </row>
    <row r="596" spans="1:3" ht="15.75" customHeight="1">
      <c r="A596" s="2"/>
      <c r="B596" s="2"/>
      <c r="C596" s="2"/>
    </row>
    <row r="597" spans="1:3" ht="15.75" customHeight="1">
      <c r="A597" s="2"/>
      <c r="B597" s="2"/>
      <c r="C597" s="2"/>
    </row>
    <row r="598" spans="1:3" ht="15.75" customHeight="1">
      <c r="A598" s="2"/>
      <c r="B598" s="2"/>
      <c r="C598" s="2"/>
    </row>
    <row r="599" spans="1:3" ht="15.75" customHeight="1">
      <c r="A599" s="2"/>
      <c r="B599" s="2"/>
      <c r="C599" s="2"/>
    </row>
    <row r="600" spans="1:3" ht="15.75" customHeight="1">
      <c r="A600" s="2"/>
      <c r="B600" s="2"/>
      <c r="C600" s="2"/>
    </row>
    <row r="601" spans="1:3" ht="15.75" customHeight="1">
      <c r="A601" s="2"/>
      <c r="B601" s="2"/>
      <c r="C601" s="2"/>
    </row>
    <row r="602" spans="1:3" ht="15.75" customHeight="1">
      <c r="A602" s="2"/>
      <c r="B602" s="2"/>
      <c r="C602" s="2"/>
    </row>
    <row r="603" spans="1:3" ht="15.75" customHeight="1">
      <c r="A603" s="2"/>
      <c r="B603" s="2"/>
      <c r="C603" s="2"/>
    </row>
    <row r="604" spans="1:3" ht="15.75" customHeight="1">
      <c r="A604" s="2"/>
      <c r="B604" s="2"/>
      <c r="C604" s="2"/>
    </row>
    <row r="605" spans="1:3" ht="15.75" customHeight="1">
      <c r="A605" s="2"/>
      <c r="B605" s="2"/>
      <c r="C605" s="2"/>
    </row>
    <row r="606" spans="1:3" ht="15.75" customHeight="1">
      <c r="A606" s="2"/>
      <c r="B606" s="2"/>
      <c r="C606" s="2"/>
    </row>
    <row r="607" spans="1:3" ht="15.75" customHeight="1">
      <c r="A607" s="2"/>
      <c r="B607" s="2"/>
      <c r="C607" s="2"/>
    </row>
    <row r="608" spans="1:3" ht="15.75" customHeight="1">
      <c r="A608" s="2"/>
      <c r="B608" s="2"/>
      <c r="C608" s="2"/>
    </row>
    <row r="609" spans="1:3" ht="15.75" customHeight="1">
      <c r="A609" s="2"/>
      <c r="B609" s="2"/>
      <c r="C609" s="2"/>
    </row>
    <row r="610" spans="1:3" ht="15.75" customHeight="1">
      <c r="A610" s="2"/>
      <c r="B610" s="2"/>
      <c r="C610" s="2"/>
    </row>
    <row r="611" spans="1:3" ht="15.75" customHeight="1">
      <c r="A611" s="2"/>
      <c r="B611" s="2"/>
      <c r="C611" s="2"/>
    </row>
    <row r="612" spans="1:3" ht="15.75" customHeight="1">
      <c r="A612" s="2"/>
      <c r="B612" s="2"/>
      <c r="C612" s="2"/>
    </row>
    <row r="613" spans="1:3" ht="15.75" customHeight="1">
      <c r="A613" s="2"/>
      <c r="B613" s="2"/>
      <c r="C613" s="2"/>
    </row>
    <row r="614" spans="1:3" ht="15.75" customHeight="1">
      <c r="A614" s="2"/>
      <c r="B614" s="2"/>
      <c r="C614" s="2"/>
    </row>
    <row r="615" spans="1:3" ht="15.75" customHeight="1">
      <c r="A615" s="2"/>
      <c r="B615" s="2"/>
      <c r="C615" s="2"/>
    </row>
    <row r="616" spans="1:3" ht="15.75" customHeight="1">
      <c r="A616" s="2"/>
      <c r="B616" s="2"/>
      <c r="C616" s="2"/>
    </row>
    <row r="617" spans="1:3" ht="15.75" customHeight="1">
      <c r="A617" s="2"/>
      <c r="B617" s="2"/>
      <c r="C617" s="2"/>
    </row>
    <row r="618" spans="1:3" ht="15.75" customHeight="1">
      <c r="A618" s="2"/>
      <c r="B618" s="2"/>
      <c r="C618" s="2"/>
    </row>
    <row r="619" spans="1:3" ht="15.75" customHeight="1">
      <c r="A619" s="2"/>
      <c r="B619" s="2"/>
      <c r="C619" s="2"/>
    </row>
    <row r="620" spans="1:3" ht="15.75" customHeight="1">
      <c r="A620" s="2"/>
      <c r="B620" s="2"/>
      <c r="C620" s="2"/>
    </row>
    <row r="621" spans="1:3" ht="15.75" customHeight="1">
      <c r="A621" s="2"/>
      <c r="B621" s="2"/>
      <c r="C621" s="2"/>
    </row>
    <row r="622" spans="1:3" ht="15.75" customHeight="1">
      <c r="A622" s="2"/>
      <c r="B622" s="2"/>
      <c r="C622" s="2"/>
    </row>
    <row r="623" spans="1:3" ht="15.75" customHeight="1">
      <c r="A623" s="2"/>
      <c r="B623" s="2"/>
      <c r="C623" s="2"/>
    </row>
    <row r="624" spans="1:3" ht="15.75" customHeight="1">
      <c r="A624" s="2"/>
      <c r="B624" s="2"/>
      <c r="C624" s="2"/>
    </row>
    <row r="625" spans="1:3" ht="15.75" customHeight="1">
      <c r="A625" s="2"/>
      <c r="B625" s="2"/>
      <c r="C625" s="2"/>
    </row>
    <row r="626" spans="1:3" ht="15.75" customHeight="1">
      <c r="A626" s="2"/>
      <c r="B626" s="2"/>
      <c r="C626" s="2"/>
    </row>
    <row r="627" spans="1:3" ht="15.75" customHeight="1">
      <c r="A627" s="2"/>
      <c r="B627" s="2"/>
      <c r="C627" s="2"/>
    </row>
    <row r="628" spans="1:3" ht="15.75" customHeight="1">
      <c r="A628" s="2"/>
      <c r="B628" s="2"/>
      <c r="C628" s="2"/>
    </row>
    <row r="629" spans="1:3" ht="15.75" customHeight="1">
      <c r="A629" s="2"/>
      <c r="B629" s="2"/>
      <c r="C629" s="2"/>
    </row>
    <row r="630" spans="1:3" ht="15.75" customHeight="1">
      <c r="A630" s="2"/>
      <c r="B630" s="2"/>
      <c r="C630" s="2"/>
    </row>
    <row r="631" spans="1:3" ht="15.75" customHeight="1">
      <c r="A631" s="2"/>
      <c r="B631" s="2"/>
      <c r="C631" s="2"/>
    </row>
    <row r="632" spans="1:3" ht="15.75" customHeight="1">
      <c r="A632" s="2"/>
      <c r="B632" s="2"/>
      <c r="C632" s="2"/>
    </row>
    <row r="633" spans="1:3" ht="15.75" customHeight="1">
      <c r="A633" s="2"/>
      <c r="B633" s="2"/>
      <c r="C633" s="2"/>
    </row>
    <row r="634" spans="1:3" ht="15.75" customHeight="1">
      <c r="A634" s="2"/>
      <c r="B634" s="2"/>
      <c r="C634" s="2"/>
    </row>
    <row r="635" spans="1:3" ht="15.75" customHeight="1">
      <c r="A635" s="2"/>
      <c r="B635" s="2"/>
      <c r="C635" s="2"/>
    </row>
    <row r="636" spans="1:3" ht="15.75" customHeight="1">
      <c r="A636" s="2"/>
      <c r="B636" s="2"/>
      <c r="C636" s="2"/>
    </row>
    <row r="637" spans="1:3" ht="15.75" customHeight="1">
      <c r="A637" s="2"/>
      <c r="B637" s="2"/>
      <c r="C637" s="2"/>
    </row>
    <row r="638" spans="1:3" ht="15.75" customHeight="1">
      <c r="A638" s="2"/>
      <c r="B638" s="2"/>
      <c r="C638" s="2"/>
    </row>
    <row r="639" spans="1:3" ht="15.75" customHeight="1">
      <c r="A639" s="2"/>
      <c r="B639" s="2"/>
      <c r="C639" s="2"/>
    </row>
    <row r="640" spans="1:3" ht="15.75" customHeight="1">
      <c r="A640" s="2"/>
      <c r="B640" s="2"/>
      <c r="C640" s="2"/>
    </row>
    <row r="641" spans="1:3" ht="15.75" customHeight="1">
      <c r="A641" s="2"/>
      <c r="B641" s="2"/>
      <c r="C641" s="2"/>
    </row>
    <row r="642" spans="1:3" ht="15.75" customHeight="1">
      <c r="A642" s="2"/>
      <c r="B642" s="2"/>
      <c r="C642" s="2"/>
    </row>
    <row r="643" spans="1:3" ht="15.75" customHeight="1">
      <c r="A643" s="2"/>
      <c r="B643" s="2"/>
      <c r="C643" s="2"/>
    </row>
    <row r="644" spans="1:3" ht="15.75" customHeight="1">
      <c r="A644" s="2"/>
      <c r="B644" s="2"/>
      <c r="C644" s="2"/>
    </row>
    <row r="645" spans="1:3" ht="15.75" customHeight="1">
      <c r="A645" s="2"/>
      <c r="B645" s="2"/>
      <c r="C645" s="2"/>
    </row>
    <row r="646" spans="1:3" ht="15.75" customHeight="1">
      <c r="A646" s="2"/>
      <c r="B646" s="2"/>
      <c r="C646" s="2"/>
    </row>
    <row r="647" spans="1:3" ht="15.75" customHeight="1">
      <c r="A647" s="2"/>
      <c r="B647" s="2"/>
      <c r="C647" s="2"/>
    </row>
    <row r="648" spans="1:3" ht="15.75" customHeight="1">
      <c r="A648" s="2"/>
      <c r="B648" s="2"/>
      <c r="C648" s="2"/>
    </row>
    <row r="649" spans="1:3" ht="15.75" customHeight="1">
      <c r="A649" s="2"/>
      <c r="B649" s="2"/>
      <c r="C649" s="2"/>
    </row>
    <row r="650" spans="1:3" ht="15.75" customHeight="1">
      <c r="A650" s="2"/>
      <c r="B650" s="2"/>
      <c r="C650" s="2"/>
    </row>
    <row r="651" spans="1:3" ht="15.75" customHeight="1">
      <c r="A651" s="2"/>
      <c r="B651" s="2"/>
      <c r="C651" s="2"/>
    </row>
    <row r="652" spans="1:3" ht="15.75" customHeight="1">
      <c r="A652" s="2"/>
      <c r="B652" s="2"/>
      <c r="C652" s="2"/>
    </row>
    <row r="653" spans="1:3" ht="15.75" customHeight="1">
      <c r="A653" s="2"/>
      <c r="B653" s="2"/>
      <c r="C653" s="2"/>
    </row>
    <row r="654" spans="1:3" ht="15.75" customHeight="1">
      <c r="A654" s="2"/>
      <c r="B654" s="2"/>
      <c r="C654" s="2"/>
    </row>
    <row r="655" spans="1:3" ht="15.75" customHeight="1">
      <c r="A655" s="2"/>
      <c r="B655" s="2"/>
      <c r="C655" s="2"/>
    </row>
    <row r="656" spans="1:3" ht="15.75" customHeight="1">
      <c r="A656" s="2"/>
      <c r="B656" s="2"/>
      <c r="C656" s="2"/>
    </row>
    <row r="657" spans="1:3" ht="15.75" customHeight="1">
      <c r="A657" s="2"/>
      <c r="B657" s="2"/>
      <c r="C657" s="2"/>
    </row>
    <row r="658" spans="1:3" ht="15.75" customHeight="1">
      <c r="A658" s="2"/>
      <c r="B658" s="2"/>
      <c r="C658" s="2"/>
    </row>
    <row r="659" spans="1:3" ht="15.75" customHeight="1">
      <c r="A659" s="2"/>
      <c r="B659" s="2"/>
      <c r="C659" s="2"/>
    </row>
    <row r="660" spans="1:3" ht="15.75" customHeight="1">
      <c r="A660" s="2"/>
      <c r="B660" s="2"/>
      <c r="C660" s="2"/>
    </row>
    <row r="661" spans="1:3" ht="15.75" customHeight="1">
      <c r="A661" s="2"/>
      <c r="B661" s="2"/>
      <c r="C661" s="2"/>
    </row>
    <row r="662" spans="1:3" ht="15.75" customHeight="1">
      <c r="A662" s="2"/>
      <c r="B662" s="2"/>
      <c r="C662" s="2"/>
    </row>
    <row r="663" spans="1:3" ht="15.75" customHeight="1">
      <c r="A663" s="2"/>
      <c r="B663" s="2"/>
      <c r="C663" s="2"/>
    </row>
    <row r="664" spans="1:3" ht="15.75" customHeight="1">
      <c r="A664" s="2"/>
      <c r="B664" s="2"/>
      <c r="C664" s="2"/>
    </row>
    <row r="665" spans="1:3" ht="15.75" customHeight="1">
      <c r="A665" s="2"/>
      <c r="B665" s="2"/>
      <c r="C665" s="2"/>
    </row>
    <row r="666" spans="1:3" ht="15.75" customHeight="1">
      <c r="A666" s="2"/>
      <c r="B666" s="2"/>
      <c r="C666" s="2"/>
    </row>
    <row r="667" spans="1:3" ht="15.75" customHeight="1">
      <c r="A667" s="2"/>
      <c r="B667" s="2"/>
      <c r="C667" s="2"/>
    </row>
    <row r="668" spans="1:3" ht="15.75" customHeight="1">
      <c r="A668" s="2"/>
      <c r="B668" s="2"/>
      <c r="C668" s="2"/>
    </row>
    <row r="669" spans="1:3" ht="15.75" customHeight="1">
      <c r="A669" s="2"/>
      <c r="B669" s="2"/>
      <c r="C669" s="2"/>
    </row>
    <row r="670" spans="1:3" ht="15.75" customHeight="1">
      <c r="A670" s="2"/>
      <c r="B670" s="2"/>
      <c r="C670" s="2"/>
    </row>
    <row r="671" spans="1:3" ht="15.75" customHeight="1">
      <c r="A671" s="2"/>
      <c r="B671" s="2"/>
      <c r="C671" s="2"/>
    </row>
    <row r="672" spans="1:3" ht="15.75" customHeight="1">
      <c r="A672" s="2"/>
      <c r="B672" s="2"/>
      <c r="C672" s="2"/>
    </row>
    <row r="673" spans="1:3" ht="15.75" customHeight="1">
      <c r="A673" s="2"/>
      <c r="B673" s="2"/>
      <c r="C673" s="2"/>
    </row>
    <row r="674" spans="1:3" ht="15.75" customHeight="1">
      <c r="A674" s="2"/>
      <c r="B674" s="2"/>
      <c r="C674" s="2"/>
    </row>
    <row r="675" spans="1:3" ht="15.75" customHeight="1">
      <c r="A675" s="2"/>
      <c r="B675" s="2"/>
      <c r="C675" s="2"/>
    </row>
    <row r="676" spans="1:3" ht="15.75" customHeight="1">
      <c r="A676" s="2"/>
      <c r="B676" s="2"/>
      <c r="C676" s="2"/>
    </row>
    <row r="677" spans="1:3" ht="15.75" customHeight="1">
      <c r="A677" s="2"/>
      <c r="B677" s="2"/>
      <c r="C677" s="2"/>
    </row>
    <row r="678" spans="1:3" ht="15.75" customHeight="1">
      <c r="A678" s="2"/>
      <c r="B678" s="2"/>
      <c r="C678" s="2"/>
    </row>
    <row r="679" spans="1:3" ht="15.75" customHeight="1">
      <c r="A679" s="2"/>
      <c r="B679" s="2"/>
      <c r="C679" s="2"/>
    </row>
    <row r="680" spans="1:3" ht="15.75" customHeight="1">
      <c r="A680" s="2"/>
      <c r="B680" s="2"/>
      <c r="C680" s="2"/>
    </row>
    <row r="681" spans="1:3" ht="15.75" customHeight="1">
      <c r="A681" s="2"/>
      <c r="B681" s="2"/>
      <c r="C681" s="2"/>
    </row>
    <row r="682" spans="1:3" ht="15.75" customHeight="1">
      <c r="A682" s="2"/>
      <c r="B682" s="2"/>
      <c r="C682" s="2"/>
    </row>
    <row r="683" spans="1:3" ht="15.75" customHeight="1">
      <c r="A683" s="2"/>
      <c r="B683" s="2"/>
      <c r="C683" s="2"/>
    </row>
    <row r="684" spans="1:3" ht="15.75" customHeight="1">
      <c r="A684" s="2"/>
      <c r="B684" s="2"/>
      <c r="C684" s="2"/>
    </row>
    <row r="685" spans="1:3" ht="15.75" customHeight="1">
      <c r="A685" s="2"/>
      <c r="B685" s="2"/>
      <c r="C685" s="2"/>
    </row>
    <row r="686" spans="1:3" ht="15.75" customHeight="1">
      <c r="A686" s="2"/>
      <c r="B686" s="2"/>
      <c r="C686" s="2"/>
    </row>
    <row r="687" spans="1:3" ht="15.75" customHeight="1">
      <c r="A687" s="2"/>
      <c r="B687" s="2"/>
      <c r="C687" s="2"/>
    </row>
    <row r="688" spans="1:3" ht="15.75" customHeight="1">
      <c r="A688" s="2"/>
      <c r="B688" s="2"/>
      <c r="C688" s="2"/>
    </row>
    <row r="689" spans="1:3" ht="15.75" customHeight="1">
      <c r="A689" s="2"/>
      <c r="B689" s="2"/>
      <c r="C689" s="2"/>
    </row>
    <row r="690" spans="1:3" ht="15.75" customHeight="1">
      <c r="A690" s="2"/>
      <c r="B690" s="2"/>
      <c r="C690" s="2"/>
    </row>
    <row r="691" spans="1:3" ht="15.75" customHeight="1">
      <c r="A691" s="2"/>
      <c r="B691" s="2"/>
      <c r="C691" s="2"/>
    </row>
    <row r="692" spans="1:3" ht="15.75" customHeight="1">
      <c r="A692" s="2"/>
      <c r="B692" s="2"/>
      <c r="C692" s="2"/>
    </row>
    <row r="693" spans="1:3" ht="15.75" customHeight="1">
      <c r="A693" s="2"/>
      <c r="B693" s="2"/>
      <c r="C693" s="2"/>
    </row>
    <row r="694" spans="1:3" ht="15.75" customHeight="1">
      <c r="A694" s="2"/>
      <c r="B694" s="2"/>
      <c r="C694" s="2"/>
    </row>
    <row r="695" spans="1:3" ht="15.75" customHeight="1">
      <c r="A695" s="2"/>
      <c r="B695" s="2"/>
      <c r="C695" s="2"/>
    </row>
    <row r="696" spans="1:3" ht="15.75" customHeight="1">
      <c r="A696" s="2"/>
      <c r="B696" s="2"/>
      <c r="C696" s="2"/>
    </row>
    <row r="697" spans="1:3" ht="15.75" customHeight="1">
      <c r="A697" s="2"/>
      <c r="B697" s="2"/>
      <c r="C697" s="2"/>
    </row>
    <row r="698" spans="1:3" ht="15.75" customHeight="1">
      <c r="A698" s="2"/>
      <c r="B698" s="2"/>
      <c r="C698" s="2"/>
    </row>
    <row r="699" spans="1:3" ht="15.75" customHeight="1">
      <c r="A699" s="2"/>
      <c r="B699" s="2"/>
      <c r="C699" s="2"/>
    </row>
    <row r="700" spans="1:3" ht="15.75" customHeight="1">
      <c r="A700" s="2"/>
      <c r="B700" s="2"/>
      <c r="C700" s="2"/>
    </row>
    <row r="701" spans="1:3" ht="15.75" customHeight="1">
      <c r="A701" s="2"/>
      <c r="B701" s="2"/>
      <c r="C701" s="2"/>
    </row>
    <row r="702" spans="1:3" ht="15.75" customHeight="1">
      <c r="A702" s="2"/>
      <c r="B702" s="2"/>
      <c r="C702" s="2"/>
    </row>
    <row r="703" spans="1:3" ht="15.75" customHeight="1">
      <c r="A703" s="2"/>
      <c r="B703" s="2"/>
      <c r="C703" s="2"/>
    </row>
    <row r="704" spans="1:3" ht="15.75" customHeight="1">
      <c r="A704" s="2"/>
      <c r="B704" s="2"/>
      <c r="C704" s="2"/>
    </row>
    <row r="705" spans="1:3" ht="15.75" customHeight="1">
      <c r="A705" s="2"/>
      <c r="B705" s="2"/>
      <c r="C705" s="2"/>
    </row>
    <row r="706" spans="1:3" ht="15.75" customHeight="1">
      <c r="A706" s="2"/>
      <c r="B706" s="2"/>
      <c r="C706" s="2"/>
    </row>
    <row r="707" spans="1:3" ht="15.75" customHeight="1">
      <c r="A707" s="2"/>
      <c r="B707" s="2"/>
      <c r="C707" s="2"/>
    </row>
    <row r="708" spans="1:3" ht="15.75" customHeight="1">
      <c r="A708" s="2"/>
      <c r="B708" s="2"/>
      <c r="C708" s="2"/>
    </row>
    <row r="709" spans="1:3" ht="15.75" customHeight="1">
      <c r="A709" s="2"/>
      <c r="B709" s="2"/>
      <c r="C709" s="2"/>
    </row>
    <row r="710" spans="1:3" ht="15.75" customHeight="1">
      <c r="A710" s="2"/>
      <c r="B710" s="2"/>
      <c r="C710" s="2"/>
    </row>
    <row r="711" spans="1:3" ht="15.75" customHeight="1">
      <c r="A711" s="2"/>
      <c r="B711" s="2"/>
      <c r="C711" s="2"/>
    </row>
    <row r="712" spans="1:3" ht="15.75" customHeight="1">
      <c r="A712" s="2"/>
      <c r="B712" s="2"/>
      <c r="C712" s="2"/>
    </row>
    <row r="713" spans="1:3" ht="15.75" customHeight="1">
      <c r="A713" s="2"/>
      <c r="B713" s="2"/>
      <c r="C713" s="2"/>
    </row>
    <row r="714" spans="1:3" ht="15.75" customHeight="1">
      <c r="A714" s="2"/>
      <c r="B714" s="2"/>
      <c r="C714" s="2"/>
    </row>
    <row r="715" spans="1:3" ht="15.75" customHeight="1">
      <c r="A715" s="2"/>
      <c r="B715" s="2"/>
      <c r="C715" s="2"/>
    </row>
    <row r="716" spans="1:3" ht="15.75" customHeight="1">
      <c r="A716" s="2"/>
      <c r="B716" s="2"/>
      <c r="C716" s="2"/>
    </row>
    <row r="717" spans="1:3" ht="15.75" customHeight="1">
      <c r="A717" s="2"/>
      <c r="B717" s="2"/>
      <c r="C717" s="2"/>
    </row>
    <row r="718" spans="1:3" ht="15.75" customHeight="1">
      <c r="A718" s="2"/>
      <c r="B718" s="2"/>
      <c r="C718" s="2"/>
    </row>
    <row r="719" spans="1:3" ht="15.75" customHeight="1">
      <c r="A719" s="2"/>
      <c r="B719" s="2"/>
      <c r="C719" s="2"/>
    </row>
    <row r="720" spans="1:3" ht="15.75" customHeight="1">
      <c r="A720" s="2"/>
      <c r="B720" s="2"/>
      <c r="C720" s="2"/>
    </row>
    <row r="721" spans="1:3" ht="15.75" customHeight="1">
      <c r="A721" s="2"/>
      <c r="B721" s="2"/>
      <c r="C721" s="2"/>
    </row>
    <row r="722" spans="1:3" ht="15.75" customHeight="1">
      <c r="A722" s="2"/>
      <c r="B722" s="2"/>
      <c r="C722" s="2"/>
    </row>
    <row r="723" spans="1:3" ht="15.75" customHeight="1">
      <c r="A723" s="2"/>
      <c r="B723" s="2"/>
      <c r="C723" s="2"/>
    </row>
    <row r="724" spans="1:3" ht="15.75" customHeight="1">
      <c r="A724" s="2"/>
      <c r="B724" s="2"/>
      <c r="C724" s="2"/>
    </row>
    <row r="725" spans="1:3" ht="15.75" customHeight="1">
      <c r="A725" s="2"/>
      <c r="B725" s="2"/>
      <c r="C725" s="2"/>
    </row>
    <row r="726" spans="1:3" ht="15.75" customHeight="1">
      <c r="A726" s="2"/>
      <c r="B726" s="2"/>
      <c r="C726" s="2"/>
    </row>
    <row r="727" spans="1:3" ht="15.75" customHeight="1">
      <c r="A727" s="2"/>
      <c r="B727" s="2"/>
      <c r="C727" s="2"/>
    </row>
    <row r="728" spans="1:3" ht="15.75" customHeight="1">
      <c r="A728" s="2"/>
      <c r="B728" s="2"/>
      <c r="C728" s="2"/>
    </row>
    <row r="729" spans="1:3" ht="15.75" customHeight="1">
      <c r="A729" s="2"/>
      <c r="B729" s="2"/>
      <c r="C729" s="2"/>
    </row>
    <row r="730" spans="1:3" ht="15.75" customHeight="1">
      <c r="A730" s="2"/>
      <c r="B730" s="2"/>
      <c r="C730" s="2"/>
    </row>
    <row r="731" spans="1:3" ht="15.75" customHeight="1">
      <c r="A731" s="2"/>
      <c r="B731" s="2"/>
      <c r="C731" s="2"/>
    </row>
    <row r="732" spans="1:3" ht="15.75" customHeight="1">
      <c r="A732" s="2"/>
      <c r="B732" s="2"/>
      <c r="C732" s="2"/>
    </row>
    <row r="733" spans="1:3" ht="15.75" customHeight="1">
      <c r="A733" s="2"/>
      <c r="B733" s="2"/>
      <c r="C733" s="2"/>
    </row>
    <row r="734" spans="1:3" ht="15.75" customHeight="1">
      <c r="A734" s="2"/>
      <c r="B734" s="2"/>
      <c r="C734" s="2"/>
    </row>
    <row r="735" spans="1:3" ht="15.75" customHeight="1">
      <c r="A735" s="2"/>
      <c r="B735" s="2"/>
      <c r="C735" s="2"/>
    </row>
    <row r="736" spans="1:3" ht="15.75" customHeight="1">
      <c r="A736" s="2"/>
      <c r="B736" s="2"/>
      <c r="C736" s="2"/>
    </row>
    <row r="737" spans="1:3" ht="15.75" customHeight="1">
      <c r="A737" s="2"/>
      <c r="B737" s="2"/>
      <c r="C737" s="2"/>
    </row>
    <row r="738" spans="1:3" ht="15.75" customHeight="1">
      <c r="A738" s="2"/>
      <c r="B738" s="2"/>
      <c r="C738" s="2"/>
    </row>
    <row r="739" spans="1:3" ht="15.75" customHeight="1">
      <c r="A739" s="2"/>
      <c r="B739" s="2"/>
      <c r="C739" s="2"/>
    </row>
    <row r="740" spans="1:3" ht="15.75" customHeight="1">
      <c r="A740" s="2"/>
      <c r="B740" s="2"/>
      <c r="C740" s="2"/>
    </row>
    <row r="741" spans="1:3" ht="15.75" customHeight="1">
      <c r="A741" s="2"/>
      <c r="B741" s="2"/>
      <c r="C741" s="2"/>
    </row>
    <row r="742" spans="1:3" ht="15.75" customHeight="1">
      <c r="A742" s="2"/>
      <c r="B742" s="2"/>
      <c r="C742" s="2"/>
    </row>
    <row r="743" spans="1:3" ht="15.75" customHeight="1">
      <c r="A743" s="2"/>
      <c r="B743" s="2"/>
      <c r="C743" s="2"/>
    </row>
    <row r="744" spans="1:3" ht="15.75" customHeight="1">
      <c r="A744" s="2"/>
      <c r="B744" s="2"/>
      <c r="C744" s="2"/>
    </row>
    <row r="745" spans="1:3" ht="15.75" customHeight="1">
      <c r="A745" s="2"/>
      <c r="B745" s="2"/>
      <c r="C745" s="2"/>
    </row>
    <row r="746" spans="1:3" ht="15.75" customHeight="1">
      <c r="A746" s="2"/>
      <c r="B746" s="2"/>
      <c r="C746" s="2"/>
    </row>
    <row r="747" spans="1:3" ht="15.75" customHeight="1">
      <c r="A747" s="2"/>
      <c r="B747" s="2"/>
      <c r="C747" s="2"/>
    </row>
    <row r="748" spans="1:3" ht="15.75" customHeight="1">
      <c r="A748" s="2"/>
      <c r="B748" s="2"/>
      <c r="C748" s="2"/>
    </row>
    <row r="749" spans="1:3" ht="15.75" customHeight="1">
      <c r="A749" s="2"/>
      <c r="B749" s="2"/>
      <c r="C749" s="2"/>
    </row>
    <row r="750" spans="1:3" ht="15.75" customHeight="1">
      <c r="A750" s="2"/>
      <c r="B750" s="2"/>
      <c r="C750" s="2"/>
    </row>
    <row r="751" spans="1:3" ht="15.75" customHeight="1">
      <c r="A751" s="2"/>
      <c r="B751" s="2"/>
      <c r="C751" s="2"/>
    </row>
    <row r="752" spans="1:3" ht="15.75" customHeight="1">
      <c r="A752" s="2"/>
      <c r="B752" s="2"/>
      <c r="C752" s="2"/>
    </row>
    <row r="753" spans="1:3" ht="15.75" customHeight="1">
      <c r="A753" s="2"/>
      <c r="B753" s="2"/>
      <c r="C753" s="2"/>
    </row>
    <row r="754" spans="1:3" ht="15.75" customHeight="1">
      <c r="A754" s="2"/>
      <c r="B754" s="2"/>
      <c r="C754" s="2"/>
    </row>
    <row r="755" spans="1:3" ht="15.75" customHeight="1">
      <c r="A755" s="2"/>
      <c r="B755" s="2"/>
      <c r="C755" s="2"/>
    </row>
    <row r="756" spans="1:3" ht="15.75" customHeight="1">
      <c r="A756" s="2"/>
      <c r="B756" s="2"/>
      <c r="C756" s="2"/>
    </row>
    <row r="757" spans="1:3" ht="15.75" customHeight="1">
      <c r="A757" s="2"/>
      <c r="B757" s="2"/>
      <c r="C757" s="2"/>
    </row>
    <row r="758" spans="1:3" ht="15.75" customHeight="1">
      <c r="A758" s="2"/>
      <c r="B758" s="2"/>
      <c r="C758" s="2"/>
    </row>
    <row r="759" spans="1:3" ht="15.75" customHeight="1">
      <c r="A759" s="2"/>
      <c r="B759" s="2"/>
      <c r="C759" s="2"/>
    </row>
    <row r="760" spans="1:3" ht="15.75" customHeight="1">
      <c r="A760" s="2"/>
      <c r="B760" s="2"/>
      <c r="C760" s="2"/>
    </row>
    <row r="761" spans="1:3" ht="15.75" customHeight="1">
      <c r="A761" s="2"/>
      <c r="B761" s="2"/>
      <c r="C761" s="2"/>
    </row>
    <row r="762" spans="1:3" ht="15.75" customHeight="1">
      <c r="A762" s="2"/>
      <c r="B762" s="2"/>
      <c r="C762" s="2"/>
    </row>
    <row r="763" spans="1:3" ht="15.75" customHeight="1">
      <c r="A763" s="2"/>
      <c r="B763" s="2"/>
      <c r="C763" s="2"/>
    </row>
    <row r="764" spans="1:3" ht="15.75" customHeight="1">
      <c r="A764" s="2"/>
      <c r="B764" s="2"/>
      <c r="C764" s="2"/>
    </row>
    <row r="765" spans="1:3" ht="15.75" customHeight="1">
      <c r="A765" s="2"/>
      <c r="B765" s="2"/>
      <c r="C765" s="2"/>
    </row>
    <row r="766" spans="1:3" ht="15.75" customHeight="1">
      <c r="A766" s="2"/>
      <c r="B766" s="2"/>
      <c r="C766" s="2"/>
    </row>
    <row r="767" spans="1:3" ht="15.75" customHeight="1">
      <c r="A767" s="2"/>
      <c r="B767" s="2"/>
      <c r="C767" s="2"/>
    </row>
    <row r="768" spans="1:3" ht="15.75" customHeight="1">
      <c r="A768" s="2"/>
      <c r="B768" s="2"/>
      <c r="C768" s="2"/>
    </row>
    <row r="769" spans="1:3" ht="15.75" customHeight="1">
      <c r="A769" s="2"/>
      <c r="B769" s="2"/>
      <c r="C769" s="2"/>
    </row>
    <row r="770" spans="1:3" ht="15.75" customHeight="1">
      <c r="A770" s="2"/>
      <c r="B770" s="2"/>
      <c r="C770" s="2"/>
    </row>
    <row r="771" spans="1:3" ht="15.75" customHeight="1">
      <c r="A771" s="2"/>
      <c r="B771" s="2"/>
      <c r="C771" s="2"/>
    </row>
    <row r="772" spans="1:3" ht="15.75" customHeight="1">
      <c r="A772" s="2"/>
      <c r="B772" s="2"/>
      <c r="C772" s="2"/>
    </row>
    <row r="773" spans="1:3" ht="15.75" customHeight="1">
      <c r="A773" s="2"/>
      <c r="B773" s="2"/>
      <c r="C773" s="2"/>
    </row>
    <row r="774" spans="1:3" ht="15.75" customHeight="1">
      <c r="A774" s="2"/>
      <c r="B774" s="2"/>
      <c r="C774" s="2"/>
    </row>
    <row r="775" spans="1:3" ht="15.75" customHeight="1">
      <c r="A775" s="2"/>
      <c r="B775" s="2"/>
      <c r="C775" s="2"/>
    </row>
    <row r="776" spans="1:3" ht="15.75" customHeight="1">
      <c r="A776" s="2"/>
      <c r="B776" s="2"/>
      <c r="C776" s="2"/>
    </row>
    <row r="777" spans="1:3" ht="15.75" customHeight="1">
      <c r="A777" s="2"/>
      <c r="B777" s="2"/>
      <c r="C777" s="2"/>
    </row>
    <row r="778" spans="1:3" ht="15.75" customHeight="1">
      <c r="A778" s="2"/>
      <c r="B778" s="2"/>
      <c r="C778" s="2"/>
    </row>
    <row r="779" spans="1:3" ht="15.75" customHeight="1">
      <c r="A779" s="2"/>
      <c r="B779" s="2"/>
      <c r="C779" s="2"/>
    </row>
    <row r="780" spans="1:3" ht="15.75" customHeight="1">
      <c r="A780" s="2"/>
      <c r="B780" s="2"/>
      <c r="C780" s="2"/>
    </row>
    <row r="781" spans="1:3" ht="15.75" customHeight="1">
      <c r="A781" s="2"/>
      <c r="B781" s="2"/>
      <c r="C781" s="2"/>
    </row>
    <row r="782" spans="1:3" ht="15.75" customHeight="1">
      <c r="A782" s="2"/>
      <c r="B782" s="2"/>
      <c r="C782" s="2"/>
    </row>
    <row r="783" spans="1:3" ht="15.75" customHeight="1">
      <c r="A783" s="2"/>
      <c r="B783" s="2"/>
      <c r="C783" s="2"/>
    </row>
    <row r="784" spans="1:3" ht="15.75" customHeight="1">
      <c r="A784" s="2"/>
      <c r="B784" s="2"/>
      <c r="C784" s="2"/>
    </row>
    <row r="785" spans="1:3" ht="15.75" customHeight="1">
      <c r="A785" s="2"/>
      <c r="B785" s="2"/>
      <c r="C785" s="2"/>
    </row>
    <row r="786" spans="1:3" ht="15.75" customHeight="1">
      <c r="A786" s="2"/>
      <c r="B786" s="2"/>
      <c r="C786" s="2"/>
    </row>
    <row r="787" spans="1:3" ht="15.75" customHeight="1">
      <c r="A787" s="2"/>
      <c r="B787" s="2"/>
      <c r="C787" s="2"/>
    </row>
    <row r="788" spans="1:3" ht="15.75" customHeight="1">
      <c r="A788" s="2"/>
      <c r="B788" s="2"/>
      <c r="C788" s="2"/>
    </row>
    <row r="789" spans="1:3" ht="15.75" customHeight="1">
      <c r="A789" s="2"/>
      <c r="B789" s="2"/>
      <c r="C789" s="2"/>
    </row>
    <row r="790" spans="1:3" ht="15.75" customHeight="1">
      <c r="A790" s="2"/>
      <c r="B790" s="2"/>
      <c r="C790" s="2"/>
    </row>
    <row r="791" spans="1:3" ht="15.75" customHeight="1">
      <c r="A791" s="2"/>
      <c r="B791" s="2"/>
      <c r="C791" s="2"/>
    </row>
    <row r="792" spans="1:3" ht="15.75" customHeight="1">
      <c r="A792" s="2"/>
      <c r="B792" s="2"/>
      <c r="C792" s="2"/>
    </row>
    <row r="793" spans="1:3" ht="15.75" customHeight="1">
      <c r="A793" s="2"/>
      <c r="B793" s="2"/>
      <c r="C793" s="2"/>
    </row>
    <row r="794" spans="1:3" ht="15.75" customHeight="1">
      <c r="A794" s="2"/>
      <c r="B794" s="2"/>
      <c r="C794" s="2"/>
    </row>
    <row r="795" spans="1:3" ht="15.75" customHeight="1">
      <c r="A795" s="2"/>
      <c r="B795" s="2"/>
      <c r="C795" s="2"/>
    </row>
    <row r="796" spans="1:3" ht="15.75" customHeight="1">
      <c r="A796" s="2"/>
      <c r="B796" s="2"/>
      <c r="C796" s="2"/>
    </row>
    <row r="797" spans="1:3" ht="15.75" customHeight="1">
      <c r="A797" s="2"/>
      <c r="B797" s="2"/>
      <c r="C797" s="2"/>
    </row>
    <row r="798" spans="1:3" ht="15.75" customHeight="1">
      <c r="A798" s="2"/>
      <c r="B798" s="2"/>
      <c r="C798" s="2"/>
    </row>
    <row r="799" spans="1:3" ht="15.75" customHeight="1">
      <c r="A799" s="2"/>
      <c r="B799" s="2"/>
      <c r="C799" s="2"/>
    </row>
    <row r="800" spans="1:3" ht="15.75" customHeight="1">
      <c r="A800" s="2"/>
      <c r="B800" s="2"/>
      <c r="C800" s="2"/>
    </row>
    <row r="801" spans="1:3" ht="15.75" customHeight="1">
      <c r="A801" s="2"/>
      <c r="B801" s="2"/>
      <c r="C801" s="2"/>
    </row>
    <row r="802" spans="1:3" ht="15.75" customHeight="1">
      <c r="A802" s="2"/>
      <c r="B802" s="2"/>
      <c r="C802" s="2"/>
    </row>
    <row r="803" spans="1:3" ht="15.75" customHeight="1">
      <c r="A803" s="2"/>
      <c r="B803" s="2"/>
      <c r="C803" s="2"/>
    </row>
    <row r="804" spans="1:3" ht="15.75" customHeight="1">
      <c r="A804" s="2"/>
      <c r="B804" s="2"/>
      <c r="C804" s="2"/>
    </row>
    <row r="805" spans="1:3" ht="15.75" customHeight="1">
      <c r="A805" s="2"/>
      <c r="B805" s="2"/>
      <c r="C805" s="2"/>
    </row>
    <row r="806" spans="1:3" ht="15.75" customHeight="1">
      <c r="A806" s="2"/>
      <c r="B806" s="2"/>
      <c r="C806" s="2"/>
    </row>
    <row r="807" spans="1:3" ht="15.75" customHeight="1">
      <c r="A807" s="2"/>
      <c r="B807" s="2"/>
      <c r="C807" s="2"/>
    </row>
    <row r="808" spans="1:3" ht="15.75" customHeight="1">
      <c r="A808" s="2"/>
      <c r="B808" s="2"/>
      <c r="C808" s="2"/>
    </row>
    <row r="809" spans="1:3" ht="15.75" customHeight="1">
      <c r="A809" s="2"/>
      <c r="B809" s="2"/>
      <c r="C809" s="2"/>
    </row>
    <row r="810" spans="1:3" ht="15.75" customHeight="1">
      <c r="A810" s="2"/>
      <c r="B810" s="2"/>
      <c r="C810" s="2"/>
    </row>
    <row r="811" spans="1:3" ht="15.75" customHeight="1">
      <c r="A811" s="2"/>
      <c r="B811" s="2"/>
      <c r="C811" s="2"/>
    </row>
    <row r="812" spans="1:3" ht="15.75" customHeight="1">
      <c r="A812" s="2"/>
      <c r="B812" s="2"/>
      <c r="C812" s="2"/>
    </row>
    <row r="813" spans="1:3" ht="15.75" customHeight="1">
      <c r="A813" s="2"/>
      <c r="B813" s="2"/>
      <c r="C813" s="2"/>
    </row>
    <row r="814" spans="1:3" ht="15.75" customHeight="1">
      <c r="A814" s="2"/>
      <c r="B814" s="2"/>
      <c r="C814" s="2"/>
    </row>
    <row r="815" spans="1:3" ht="15.75" customHeight="1">
      <c r="A815" s="2"/>
      <c r="B815" s="2"/>
      <c r="C815" s="2"/>
    </row>
    <row r="816" spans="1:3" ht="15.75" customHeight="1">
      <c r="A816" s="2"/>
      <c r="B816" s="2"/>
      <c r="C816" s="2"/>
    </row>
    <row r="817" spans="1:3" ht="15.75" customHeight="1">
      <c r="A817" s="2"/>
      <c r="B817" s="2"/>
      <c r="C817" s="2"/>
    </row>
    <row r="818" spans="1:3" ht="15.75" customHeight="1">
      <c r="A818" s="2"/>
      <c r="B818" s="2"/>
      <c r="C818" s="2"/>
    </row>
    <row r="819" spans="1:3" ht="15.75" customHeight="1">
      <c r="A819" s="2"/>
      <c r="B819" s="2"/>
      <c r="C819" s="2"/>
    </row>
    <row r="820" spans="1:3" ht="15.75" customHeight="1">
      <c r="A820" s="2"/>
      <c r="B820" s="2"/>
      <c r="C820" s="2"/>
    </row>
    <row r="821" spans="1:3" ht="15.75" customHeight="1">
      <c r="A821" s="2"/>
      <c r="B821" s="2"/>
      <c r="C821" s="2"/>
    </row>
    <row r="822" spans="1:3" ht="15.75" customHeight="1">
      <c r="A822" s="2"/>
      <c r="B822" s="2"/>
      <c r="C822" s="2"/>
    </row>
    <row r="823" spans="1:3" ht="15.75" customHeight="1">
      <c r="A823" s="2"/>
      <c r="B823" s="2"/>
      <c r="C823" s="2"/>
    </row>
    <row r="824" spans="1:3" ht="15.75" customHeight="1">
      <c r="A824" s="2"/>
      <c r="B824" s="2"/>
      <c r="C824" s="2"/>
    </row>
    <row r="825" spans="1:3" ht="15.75" customHeight="1">
      <c r="A825" s="2"/>
      <c r="B825" s="2"/>
      <c r="C825" s="2"/>
    </row>
    <row r="826" spans="1:3" ht="15.75" customHeight="1">
      <c r="A826" s="2"/>
      <c r="B826" s="2"/>
      <c r="C826" s="2"/>
    </row>
    <row r="827" spans="1:3" ht="15.75" customHeight="1">
      <c r="A827" s="2"/>
      <c r="B827" s="2"/>
      <c r="C827" s="2"/>
    </row>
    <row r="828" spans="1:3" ht="15.75" customHeight="1">
      <c r="A828" s="2"/>
      <c r="B828" s="2"/>
      <c r="C828" s="2"/>
    </row>
    <row r="829" spans="1:3" ht="15.75" customHeight="1">
      <c r="A829" s="2"/>
      <c r="B829" s="2"/>
      <c r="C829" s="2"/>
    </row>
    <row r="830" spans="1:3" ht="15.75" customHeight="1">
      <c r="A830" s="2"/>
      <c r="B830" s="2"/>
      <c r="C830" s="2"/>
    </row>
    <row r="831" spans="1:3" ht="15.75" customHeight="1">
      <c r="A831" s="2"/>
      <c r="B831" s="2"/>
      <c r="C831" s="2"/>
    </row>
    <row r="832" spans="1:3" ht="15.75" customHeight="1">
      <c r="A832" s="2"/>
      <c r="B832" s="2"/>
      <c r="C832" s="2"/>
    </row>
    <row r="833" spans="1:3" ht="15.75" customHeight="1">
      <c r="A833" s="2"/>
      <c r="B833" s="2"/>
      <c r="C833" s="2"/>
    </row>
    <row r="834" spans="1:3" ht="15.75" customHeight="1">
      <c r="A834" s="2"/>
      <c r="B834" s="2"/>
      <c r="C834" s="2"/>
    </row>
    <row r="835" spans="1:3" ht="15.75" customHeight="1">
      <c r="A835" s="2"/>
      <c r="B835" s="2"/>
      <c r="C835" s="2"/>
    </row>
    <row r="836" spans="1:3" ht="15.75" customHeight="1">
      <c r="A836" s="2"/>
      <c r="B836" s="2"/>
      <c r="C836" s="2"/>
    </row>
    <row r="837" spans="1:3" ht="15.75" customHeight="1">
      <c r="A837" s="2"/>
      <c r="B837" s="2"/>
      <c r="C837" s="2"/>
    </row>
    <row r="838" spans="1:3" ht="15.75" customHeight="1">
      <c r="A838" s="2"/>
      <c r="B838" s="2"/>
      <c r="C838" s="2"/>
    </row>
    <row r="839" spans="1:3" ht="15.75" customHeight="1">
      <c r="A839" s="2"/>
      <c r="B839" s="2"/>
      <c r="C839" s="2"/>
    </row>
    <row r="840" spans="1:3" ht="15.75" customHeight="1">
      <c r="A840" s="2"/>
      <c r="B840" s="2"/>
      <c r="C840" s="2"/>
    </row>
    <row r="841" spans="1:3" ht="15.75" customHeight="1">
      <c r="A841" s="2"/>
      <c r="B841" s="2"/>
      <c r="C841" s="2"/>
    </row>
    <row r="842" spans="1:3" ht="15.75" customHeight="1">
      <c r="A842" s="2"/>
      <c r="B842" s="2"/>
      <c r="C842" s="2"/>
    </row>
    <row r="843" spans="1:3" ht="15.75" customHeight="1">
      <c r="A843" s="2"/>
      <c r="B843" s="2"/>
      <c r="C843" s="2"/>
    </row>
    <row r="844" spans="1:3" ht="15.75" customHeight="1">
      <c r="A844" s="2"/>
      <c r="B844" s="2"/>
      <c r="C844" s="2"/>
    </row>
    <row r="845" spans="1:3" ht="15.75" customHeight="1">
      <c r="A845" s="2"/>
      <c r="B845" s="2"/>
      <c r="C845" s="2"/>
    </row>
    <row r="846" spans="1:3" ht="15.75" customHeight="1">
      <c r="A846" s="2"/>
      <c r="B846" s="2"/>
      <c r="C846" s="2"/>
    </row>
    <row r="847" spans="1:3" ht="15.75" customHeight="1">
      <c r="A847" s="2"/>
      <c r="B847" s="2"/>
      <c r="C847" s="2"/>
    </row>
    <row r="848" spans="1:3" ht="15.75" customHeight="1">
      <c r="A848" s="2"/>
      <c r="B848" s="2"/>
      <c r="C848" s="2"/>
    </row>
    <row r="849" spans="1:3" ht="15.75" customHeight="1">
      <c r="A849" s="2"/>
      <c r="B849" s="2"/>
      <c r="C849" s="2"/>
    </row>
    <row r="850" spans="1:3" ht="15.75" customHeight="1">
      <c r="A850" s="2"/>
      <c r="B850" s="2"/>
      <c r="C850" s="2"/>
    </row>
    <row r="851" spans="1:3" ht="15.75" customHeight="1">
      <c r="A851" s="2"/>
      <c r="B851" s="2"/>
      <c r="C851" s="2"/>
    </row>
    <row r="852" spans="1:3" ht="15.75" customHeight="1">
      <c r="A852" s="2"/>
      <c r="B852" s="2"/>
      <c r="C852" s="2"/>
    </row>
    <row r="853" spans="1:3" ht="15.75" customHeight="1">
      <c r="A853" s="2"/>
      <c r="B853" s="2"/>
      <c r="C853" s="2"/>
    </row>
    <row r="854" spans="1:3" ht="15.75" customHeight="1">
      <c r="A854" s="2"/>
      <c r="B854" s="2"/>
      <c r="C854" s="2"/>
    </row>
    <row r="855" spans="1:3" ht="15.75" customHeight="1">
      <c r="A855" s="2"/>
      <c r="B855" s="2"/>
      <c r="C855" s="2"/>
    </row>
    <row r="856" spans="1:3" ht="15.75" customHeight="1">
      <c r="A856" s="2"/>
      <c r="B856" s="2"/>
      <c r="C856" s="2"/>
    </row>
    <row r="857" spans="1:3" ht="15.75" customHeight="1">
      <c r="A857" s="2"/>
      <c r="B857" s="2"/>
      <c r="C857" s="2"/>
    </row>
    <row r="858" spans="1:3" ht="15.75" customHeight="1">
      <c r="A858" s="2"/>
      <c r="B858" s="2"/>
      <c r="C858" s="2"/>
    </row>
    <row r="859" spans="1:3" ht="15.75" customHeight="1">
      <c r="A859" s="2"/>
      <c r="B859" s="2"/>
      <c r="C859" s="2"/>
    </row>
    <row r="860" spans="1:3" ht="15.75" customHeight="1">
      <c r="A860" s="2"/>
      <c r="B860" s="2"/>
      <c r="C860" s="2"/>
    </row>
    <row r="861" spans="1:3" ht="15.75" customHeight="1">
      <c r="A861" s="2"/>
      <c r="B861" s="2"/>
      <c r="C861" s="2"/>
    </row>
    <row r="862" spans="1:3" ht="15.75" customHeight="1">
      <c r="A862" s="2"/>
      <c r="B862" s="2"/>
      <c r="C862" s="2"/>
    </row>
    <row r="863" spans="1:3" ht="15.75" customHeight="1">
      <c r="A863" s="2"/>
      <c r="B863" s="2"/>
      <c r="C863" s="2"/>
    </row>
    <row r="864" spans="1:3" ht="15.75" customHeight="1">
      <c r="A864" s="2"/>
      <c r="B864" s="2"/>
      <c r="C864" s="2"/>
    </row>
    <row r="865" spans="1:3" ht="15.75" customHeight="1">
      <c r="A865" s="2"/>
      <c r="B865" s="2"/>
      <c r="C865" s="2"/>
    </row>
    <row r="866" spans="1:3" ht="15.75" customHeight="1">
      <c r="A866" s="2"/>
      <c r="B866" s="2"/>
      <c r="C866" s="2"/>
    </row>
    <row r="867" spans="1:3" ht="15.75" customHeight="1">
      <c r="A867" s="2"/>
      <c r="B867" s="2"/>
      <c r="C867" s="2"/>
    </row>
    <row r="868" spans="1:3" ht="15.75" customHeight="1">
      <c r="A868" s="2"/>
      <c r="B868" s="2"/>
      <c r="C868" s="2"/>
    </row>
    <row r="869" spans="1:3" ht="15.75" customHeight="1">
      <c r="A869" s="2"/>
      <c r="B869" s="2"/>
      <c r="C869" s="2"/>
    </row>
    <row r="870" spans="1:3" ht="15.75" customHeight="1">
      <c r="A870" s="2"/>
      <c r="B870" s="2"/>
      <c r="C870" s="2"/>
    </row>
    <row r="871" spans="1:3" ht="15.75" customHeight="1">
      <c r="A871" s="2"/>
      <c r="B871" s="2"/>
      <c r="C871" s="2"/>
    </row>
    <row r="872" spans="1:3" ht="15.75" customHeight="1">
      <c r="A872" s="2"/>
      <c r="B872" s="2"/>
      <c r="C872" s="2"/>
    </row>
    <row r="873" spans="1:3" ht="15.75" customHeight="1">
      <c r="A873" s="2"/>
      <c r="B873" s="2"/>
      <c r="C873" s="2"/>
    </row>
    <row r="874" spans="1:3" ht="15.75" customHeight="1">
      <c r="A874" s="2"/>
      <c r="B874" s="2"/>
      <c r="C874" s="2"/>
    </row>
    <row r="875" spans="1:3" ht="15.75" customHeight="1">
      <c r="A875" s="2"/>
      <c r="B875" s="2"/>
      <c r="C875" s="2"/>
    </row>
    <row r="876" spans="1:3" ht="15.75" customHeight="1">
      <c r="A876" s="2"/>
      <c r="B876" s="2"/>
      <c r="C876" s="2"/>
    </row>
    <row r="877" spans="1:3" ht="15.75" customHeight="1">
      <c r="A877" s="2"/>
      <c r="B877" s="2"/>
      <c r="C877" s="2"/>
    </row>
    <row r="878" spans="1:3" ht="15.75" customHeight="1">
      <c r="A878" s="2"/>
      <c r="B878" s="2"/>
      <c r="C878" s="2"/>
    </row>
    <row r="879" spans="1:3" ht="15.75" customHeight="1">
      <c r="A879" s="2"/>
      <c r="B879" s="2"/>
      <c r="C879" s="2"/>
    </row>
    <row r="880" spans="1:3" ht="15.75" customHeight="1">
      <c r="A880" s="2"/>
      <c r="B880" s="2"/>
      <c r="C880" s="2"/>
    </row>
    <row r="881" spans="1:3" ht="15.75" customHeight="1">
      <c r="A881" s="2"/>
      <c r="B881" s="2"/>
      <c r="C881" s="2"/>
    </row>
    <row r="882" spans="1:3" ht="15.75" customHeight="1">
      <c r="A882" s="2"/>
      <c r="B882" s="2"/>
      <c r="C882" s="2"/>
    </row>
    <row r="883" spans="1:3" ht="15.75" customHeight="1">
      <c r="A883" s="2"/>
      <c r="B883" s="2"/>
      <c r="C883" s="2"/>
    </row>
    <row r="884" spans="1:3" ht="15.75" customHeight="1">
      <c r="A884" s="2"/>
      <c r="B884" s="2"/>
      <c r="C884" s="2"/>
    </row>
    <row r="885" spans="1:3" ht="15.75" customHeight="1">
      <c r="A885" s="2"/>
      <c r="B885" s="2"/>
      <c r="C885" s="2"/>
    </row>
    <row r="886" spans="1:3" ht="15.75" customHeight="1">
      <c r="A886" s="2"/>
      <c r="B886" s="2"/>
      <c r="C886" s="2"/>
    </row>
    <row r="887" spans="1:3" ht="15.75" customHeight="1">
      <c r="A887" s="2"/>
      <c r="B887" s="2"/>
      <c r="C887" s="2"/>
    </row>
    <row r="888" spans="1:3" ht="15.75" customHeight="1">
      <c r="A888" s="2"/>
      <c r="B888" s="2"/>
      <c r="C888" s="2"/>
    </row>
    <row r="889" spans="1:3" ht="15.75" customHeight="1">
      <c r="A889" s="2"/>
      <c r="B889" s="2"/>
      <c r="C889" s="2"/>
    </row>
    <row r="890" spans="1:3" ht="15.75" customHeight="1">
      <c r="A890" s="2"/>
      <c r="B890" s="2"/>
      <c r="C890" s="2"/>
    </row>
    <row r="891" spans="1:3" ht="15.75" customHeight="1">
      <c r="A891" s="2"/>
      <c r="B891" s="2"/>
      <c r="C891" s="2"/>
    </row>
    <row r="892" spans="1:3" ht="15.75" customHeight="1">
      <c r="A892" s="2"/>
      <c r="B892" s="2"/>
      <c r="C892" s="2"/>
    </row>
    <row r="893" spans="1:3" ht="15.75" customHeight="1">
      <c r="A893" s="2"/>
      <c r="B893" s="2"/>
      <c r="C893" s="2"/>
    </row>
    <row r="894" spans="1:3" ht="15.75" customHeight="1">
      <c r="A894" s="2"/>
      <c r="B894" s="2"/>
      <c r="C894" s="2"/>
    </row>
    <row r="895" spans="1:3" ht="15.75" customHeight="1">
      <c r="A895" s="2"/>
      <c r="B895" s="2"/>
      <c r="C895" s="2"/>
    </row>
    <row r="896" spans="1:3" ht="15.75" customHeight="1">
      <c r="A896" s="2"/>
      <c r="B896" s="2"/>
      <c r="C896" s="2"/>
    </row>
    <row r="897" spans="1:3" ht="15.75" customHeight="1">
      <c r="A897" s="2"/>
      <c r="B897" s="2"/>
      <c r="C897" s="2"/>
    </row>
    <row r="898" spans="1:3" ht="15.75" customHeight="1">
      <c r="A898" s="2"/>
      <c r="B898" s="2"/>
      <c r="C898" s="2"/>
    </row>
    <row r="899" spans="1:3" ht="15.75" customHeight="1">
      <c r="A899" s="2"/>
      <c r="B899" s="2"/>
      <c r="C899" s="2"/>
    </row>
    <row r="900" spans="1:3" ht="15.75" customHeight="1">
      <c r="A900" s="2"/>
      <c r="B900" s="2"/>
      <c r="C900" s="2"/>
    </row>
    <row r="901" spans="1:3" ht="15.75" customHeight="1">
      <c r="A901" s="2"/>
      <c r="B901" s="2"/>
      <c r="C901" s="2"/>
    </row>
    <row r="902" spans="1:3" ht="15.75" customHeight="1">
      <c r="A902" s="2"/>
      <c r="B902" s="2"/>
      <c r="C902" s="2"/>
    </row>
    <row r="903" spans="1:3" ht="15.75" customHeight="1">
      <c r="A903" s="2"/>
      <c r="B903" s="2"/>
      <c r="C903" s="2"/>
    </row>
    <row r="904" spans="1:3" ht="15.75" customHeight="1">
      <c r="A904" s="2"/>
      <c r="B904" s="2"/>
      <c r="C904" s="2"/>
    </row>
    <row r="905" spans="1:3" ht="15.75" customHeight="1">
      <c r="A905" s="2"/>
      <c r="B905" s="2"/>
      <c r="C905" s="2"/>
    </row>
    <row r="906" spans="1:3" ht="15.75" customHeight="1">
      <c r="A906" s="2"/>
      <c r="B906" s="2"/>
      <c r="C906" s="2"/>
    </row>
    <row r="907" spans="1:3" ht="15.75" customHeight="1">
      <c r="A907" s="2"/>
      <c r="B907" s="2"/>
      <c r="C907" s="2"/>
    </row>
    <row r="908" spans="1:3" ht="15.75" customHeight="1">
      <c r="A908" s="2"/>
      <c r="B908" s="2"/>
      <c r="C908" s="2"/>
    </row>
    <row r="909" spans="1:3" ht="15.75" customHeight="1">
      <c r="A909" s="2"/>
      <c r="B909" s="2"/>
      <c r="C909" s="2"/>
    </row>
    <row r="910" spans="1:3" ht="15.75" customHeight="1">
      <c r="A910" s="2"/>
      <c r="B910" s="2"/>
      <c r="C910" s="2"/>
    </row>
    <row r="911" spans="1:3" ht="15.75" customHeight="1">
      <c r="A911" s="2"/>
      <c r="B911" s="2"/>
      <c r="C911" s="2"/>
    </row>
    <row r="912" spans="1:3" ht="15.75" customHeight="1">
      <c r="A912" s="2"/>
      <c r="B912" s="2"/>
      <c r="C912" s="2"/>
    </row>
    <row r="913" spans="1:3" ht="15.75" customHeight="1">
      <c r="A913" s="2"/>
      <c r="B913" s="2"/>
      <c r="C913" s="2"/>
    </row>
    <row r="914" spans="1:3" ht="15.75" customHeight="1">
      <c r="A914" s="2"/>
      <c r="B914" s="2"/>
      <c r="C914" s="2"/>
    </row>
    <row r="915" spans="1:3" ht="15.75" customHeight="1">
      <c r="A915" s="2"/>
      <c r="B915" s="2"/>
      <c r="C915" s="2"/>
    </row>
    <row r="916" spans="1:3" ht="15.75" customHeight="1">
      <c r="A916" s="2"/>
      <c r="B916" s="2"/>
      <c r="C916" s="2"/>
    </row>
    <row r="917" spans="1:3" ht="15.75" customHeight="1">
      <c r="A917" s="2"/>
      <c r="B917" s="2"/>
      <c r="C917" s="2"/>
    </row>
    <row r="918" spans="1:3" ht="15.75" customHeight="1">
      <c r="A918" s="2"/>
      <c r="B918" s="2"/>
      <c r="C918" s="2"/>
    </row>
    <row r="919" spans="1:3" ht="15.75" customHeight="1">
      <c r="A919" s="2"/>
      <c r="B919" s="2"/>
      <c r="C919" s="2"/>
    </row>
    <row r="920" spans="1:3" ht="15.75" customHeight="1">
      <c r="A920" s="2"/>
      <c r="B920" s="2"/>
      <c r="C920" s="2"/>
    </row>
    <row r="921" spans="1:3" ht="15.75" customHeight="1">
      <c r="A921" s="2"/>
      <c r="B921" s="2"/>
      <c r="C921" s="2"/>
    </row>
    <row r="922" spans="1:3" ht="15.75" customHeight="1">
      <c r="A922" s="2"/>
      <c r="B922" s="2"/>
      <c r="C922" s="2"/>
    </row>
    <row r="923" spans="1:3" ht="15.75" customHeight="1">
      <c r="A923" s="2"/>
      <c r="B923" s="2"/>
      <c r="C923" s="2"/>
    </row>
    <row r="924" spans="1:3" ht="15.75" customHeight="1">
      <c r="A924" s="2"/>
      <c r="B924" s="2"/>
      <c r="C924" s="2"/>
    </row>
    <row r="925" spans="1:3" ht="15.75" customHeight="1">
      <c r="A925" s="2"/>
      <c r="B925" s="2"/>
      <c r="C925" s="2"/>
    </row>
    <row r="926" spans="1:3" ht="15.75" customHeight="1">
      <c r="A926" s="2"/>
      <c r="B926" s="2"/>
      <c r="C926" s="2"/>
    </row>
    <row r="927" spans="1:3" ht="15.75" customHeight="1">
      <c r="A927" s="2"/>
      <c r="B927" s="2"/>
      <c r="C927" s="2"/>
    </row>
    <row r="928" spans="1:3" ht="15.75" customHeight="1">
      <c r="A928" s="2"/>
      <c r="B928" s="2"/>
      <c r="C928" s="2"/>
    </row>
    <row r="929" spans="1:3" ht="15.75" customHeight="1">
      <c r="A929" s="2"/>
      <c r="B929" s="2"/>
      <c r="C929" s="2"/>
    </row>
    <row r="930" spans="1:3" ht="15.75" customHeight="1">
      <c r="A930" s="2"/>
      <c r="B930" s="2"/>
      <c r="C930" s="2"/>
    </row>
    <row r="931" spans="1:3" ht="15.75" customHeight="1">
      <c r="A931" s="2"/>
      <c r="B931" s="2"/>
      <c r="C931" s="2"/>
    </row>
    <row r="932" spans="1:3" ht="15.75" customHeight="1">
      <c r="A932" s="2"/>
      <c r="B932" s="2"/>
      <c r="C932" s="2"/>
    </row>
    <row r="933" spans="1:3" ht="15.75" customHeight="1">
      <c r="A933" s="2"/>
      <c r="B933" s="2"/>
      <c r="C933" s="2"/>
    </row>
    <row r="934" spans="1:3" ht="15.75" customHeight="1">
      <c r="A934" s="2"/>
      <c r="B934" s="2"/>
      <c r="C934" s="2"/>
    </row>
    <row r="935" spans="1:3" ht="15.75" customHeight="1">
      <c r="A935" s="2"/>
      <c r="B935" s="2"/>
      <c r="C935" s="2"/>
    </row>
    <row r="936" spans="1:3" ht="15.75" customHeight="1">
      <c r="A936" s="2"/>
      <c r="B936" s="2"/>
      <c r="C936" s="2"/>
    </row>
    <row r="937" spans="1:3" ht="15.75" customHeight="1">
      <c r="A937" s="2"/>
      <c r="B937" s="2"/>
      <c r="C937" s="2"/>
    </row>
    <row r="938" spans="1:3" ht="15.75" customHeight="1">
      <c r="A938" s="2"/>
      <c r="B938" s="2"/>
      <c r="C938" s="2"/>
    </row>
    <row r="939" spans="1:3" ht="15.75" customHeight="1">
      <c r="A939" s="2"/>
      <c r="B939" s="2"/>
      <c r="C939" s="2"/>
    </row>
    <row r="940" spans="1:3" ht="15.75" customHeight="1">
      <c r="A940" s="2"/>
      <c r="B940" s="2"/>
      <c r="C940" s="2"/>
    </row>
    <row r="941" spans="1:3" ht="15.75" customHeight="1">
      <c r="A941" s="2"/>
      <c r="B941" s="2"/>
      <c r="C941" s="2"/>
    </row>
    <row r="942" spans="1:3" ht="15.75" customHeight="1">
      <c r="A942" s="2"/>
      <c r="B942" s="2"/>
      <c r="C942" s="2"/>
    </row>
    <row r="943" spans="1:3" ht="15.75" customHeight="1">
      <c r="A943" s="2"/>
      <c r="B943" s="2"/>
      <c r="C943" s="2"/>
    </row>
    <row r="944" spans="1:3" ht="15.75" customHeight="1">
      <c r="A944" s="2"/>
      <c r="B944" s="2"/>
      <c r="C944" s="2"/>
    </row>
    <row r="945" spans="1:3" ht="15.75" customHeight="1">
      <c r="A945" s="2"/>
      <c r="B945" s="2"/>
      <c r="C945" s="2"/>
    </row>
    <row r="946" spans="1:3" ht="15.75" customHeight="1">
      <c r="A946" s="2"/>
      <c r="B946" s="2"/>
      <c r="C946" s="2"/>
    </row>
    <row r="947" spans="1:3" ht="15.75" customHeight="1">
      <c r="A947" s="2"/>
      <c r="B947" s="2"/>
      <c r="C947" s="2"/>
    </row>
    <row r="948" spans="1:3" ht="15.75" customHeight="1">
      <c r="A948" s="2"/>
      <c r="B948" s="2"/>
      <c r="C948" s="2"/>
    </row>
    <row r="949" spans="1:3" ht="15.75" customHeight="1">
      <c r="A949" s="2"/>
      <c r="B949" s="2"/>
      <c r="C949" s="2"/>
    </row>
    <row r="950" spans="1:3" ht="15.75" customHeight="1">
      <c r="A950" s="2"/>
      <c r="B950" s="2"/>
      <c r="C950" s="2"/>
    </row>
    <row r="951" spans="1:3" ht="15.75" customHeight="1">
      <c r="A951" s="2"/>
      <c r="B951" s="2"/>
      <c r="C951" s="2"/>
    </row>
    <row r="952" spans="1:3" ht="15.75" customHeight="1">
      <c r="A952" s="2"/>
      <c r="B952" s="2"/>
      <c r="C952" s="2"/>
    </row>
    <row r="953" spans="1:3" ht="15.75" customHeight="1">
      <c r="A953" s="2"/>
      <c r="B953" s="2"/>
      <c r="C953" s="2"/>
    </row>
    <row r="954" spans="1:3" ht="15.75" customHeight="1">
      <c r="A954" s="2"/>
      <c r="B954" s="2"/>
      <c r="C954" s="2"/>
    </row>
    <row r="955" spans="1:3" ht="15.75" customHeight="1">
      <c r="A955" s="2"/>
      <c r="B955" s="2"/>
      <c r="C955" s="2"/>
    </row>
    <row r="956" spans="1:3" ht="15.75" customHeight="1">
      <c r="A956" s="2"/>
      <c r="B956" s="2"/>
      <c r="C956" s="2"/>
    </row>
    <row r="957" spans="1:3" ht="15.75" customHeight="1">
      <c r="A957" s="2"/>
      <c r="B957" s="2"/>
      <c r="C957" s="2"/>
    </row>
    <row r="958" spans="1:3" ht="15.75" customHeight="1">
      <c r="A958" s="2"/>
      <c r="B958" s="2"/>
      <c r="C958" s="2"/>
    </row>
    <row r="959" spans="1:3" ht="15.75" customHeight="1">
      <c r="A959" s="2"/>
      <c r="B959" s="2"/>
      <c r="C959" s="2"/>
    </row>
    <row r="960" spans="1:3" ht="15.75" customHeight="1">
      <c r="A960" s="2"/>
      <c r="B960" s="2"/>
      <c r="C960" s="2"/>
    </row>
    <row r="961" spans="1:3" ht="15.75" customHeight="1">
      <c r="A961" s="2"/>
      <c r="B961" s="2"/>
      <c r="C961" s="2"/>
    </row>
    <row r="962" spans="1:3" ht="15.75" customHeight="1">
      <c r="A962" s="2"/>
      <c r="B962" s="2"/>
      <c r="C962" s="2"/>
    </row>
    <row r="963" spans="1:3" ht="15.75" customHeight="1">
      <c r="A963" s="2"/>
      <c r="B963" s="2"/>
      <c r="C963" s="2"/>
    </row>
    <row r="964" spans="1:3" ht="15.75" customHeight="1">
      <c r="A964" s="2"/>
      <c r="B964" s="2"/>
      <c r="C964" s="2"/>
    </row>
    <row r="965" spans="1:3" ht="15.75" customHeight="1">
      <c r="A965" s="2"/>
      <c r="B965" s="2"/>
      <c r="C965" s="2"/>
    </row>
    <row r="966" spans="1:3" ht="15.75" customHeight="1">
      <c r="A966" s="2"/>
      <c r="B966" s="2"/>
      <c r="C966" s="2"/>
    </row>
    <row r="967" spans="1:3" ht="15.75" customHeight="1">
      <c r="A967" s="2"/>
      <c r="B967" s="2"/>
      <c r="C967" s="2"/>
    </row>
    <row r="968" spans="1:3" ht="15.75" customHeight="1">
      <c r="A968" s="2"/>
      <c r="B968" s="2"/>
      <c r="C968" s="2"/>
    </row>
    <row r="969" spans="1:3" ht="15.75" customHeight="1">
      <c r="A969" s="2"/>
      <c r="B969" s="2"/>
      <c r="C969" s="2"/>
    </row>
    <row r="970" spans="1:3" ht="15.75" customHeight="1">
      <c r="A970" s="2"/>
      <c r="B970" s="2"/>
      <c r="C970" s="2"/>
    </row>
    <row r="971" spans="1:3" ht="15.75" customHeight="1">
      <c r="A971" s="2"/>
      <c r="B971" s="2"/>
      <c r="C971" s="2"/>
    </row>
    <row r="972" spans="1:3" ht="15.75" customHeight="1">
      <c r="A972" s="2"/>
      <c r="B972" s="2"/>
      <c r="C972" s="2"/>
    </row>
    <row r="973" spans="1:3" ht="15.75" customHeight="1">
      <c r="A973" s="2"/>
      <c r="B973" s="2"/>
      <c r="C973" s="2"/>
    </row>
    <row r="974" spans="1:3" ht="15.75" customHeight="1">
      <c r="A974" s="2"/>
      <c r="B974" s="2"/>
      <c r="C974" s="2"/>
    </row>
    <row r="975" spans="1:3" ht="15.75" customHeight="1">
      <c r="A975" s="2"/>
      <c r="B975" s="2"/>
      <c r="C975" s="2"/>
    </row>
    <row r="976" spans="1:3" ht="15.75" customHeight="1">
      <c r="A976" s="2"/>
      <c r="B976" s="2"/>
      <c r="C976" s="2"/>
    </row>
    <row r="977" spans="1:3" ht="15.75" customHeight="1">
      <c r="A977" s="2"/>
      <c r="B977" s="2"/>
      <c r="C977" s="2"/>
    </row>
    <row r="978" spans="1:3" ht="15.75" customHeight="1">
      <c r="A978" s="2"/>
      <c r="B978" s="2"/>
      <c r="C978" s="2"/>
    </row>
    <row r="979" spans="1:3" ht="15.75" customHeight="1">
      <c r="A979" s="2"/>
      <c r="B979" s="2"/>
      <c r="C979" s="2"/>
    </row>
    <row r="980" spans="1:3" ht="15.75" customHeight="1">
      <c r="A980" s="2"/>
      <c r="B980" s="2"/>
      <c r="C980" s="2"/>
    </row>
    <row r="981" spans="1:3" ht="15.75" customHeight="1">
      <c r="A981" s="2"/>
      <c r="B981" s="2"/>
      <c r="C981" s="2"/>
    </row>
    <row r="982" spans="1:3" ht="15.75" customHeight="1">
      <c r="A982" s="2"/>
      <c r="B982" s="2"/>
      <c r="C982" s="2"/>
    </row>
    <row r="983" spans="1:3" ht="15.75" customHeight="1">
      <c r="A983" s="2"/>
      <c r="B983" s="2"/>
      <c r="C983" s="2"/>
    </row>
    <row r="984" spans="1:3" ht="15.75" customHeight="1">
      <c r="A984" s="2"/>
      <c r="B984" s="2"/>
      <c r="C984" s="2"/>
    </row>
    <row r="985" spans="1:3" ht="15.75" customHeight="1">
      <c r="A985" s="2"/>
      <c r="B985" s="2"/>
      <c r="C985" s="2"/>
    </row>
    <row r="986" spans="1:3" ht="15.75" customHeight="1">
      <c r="A986" s="2"/>
      <c r="B986" s="2"/>
      <c r="C986" s="2"/>
    </row>
    <row r="987" spans="1:3" ht="15.75" customHeight="1">
      <c r="A987" s="2"/>
      <c r="B987" s="2"/>
      <c r="C987" s="2"/>
    </row>
    <row r="988" spans="1:3" ht="15.75" customHeight="1">
      <c r="A988" s="2"/>
      <c r="B988" s="2"/>
      <c r="C988" s="2"/>
    </row>
    <row r="989" spans="1:3" ht="15.75" customHeight="1">
      <c r="A989" s="2"/>
      <c r="B989" s="2"/>
      <c r="C989" s="2"/>
    </row>
    <row r="990" spans="1:3" ht="15.75" customHeight="1">
      <c r="A990" s="2"/>
      <c r="B990" s="2"/>
      <c r="C990" s="2"/>
    </row>
    <row r="991" spans="1:3" ht="15.75" customHeight="1">
      <c r="A991" s="2"/>
      <c r="B991" s="2"/>
      <c r="C991" s="2"/>
    </row>
    <row r="992" spans="1:3" ht="15.75" customHeight="1">
      <c r="A992" s="2"/>
      <c r="B992" s="2"/>
      <c r="C992" s="2"/>
    </row>
    <row r="993" spans="1:3" ht="15.75" customHeight="1">
      <c r="A993" s="2"/>
      <c r="B993" s="2"/>
      <c r="C993" s="2"/>
    </row>
    <row r="994" spans="1:3" ht="15.75" customHeight="1">
      <c r="A994" s="2"/>
      <c r="B994" s="2"/>
      <c r="C994" s="2"/>
    </row>
    <row r="995" spans="1:3" ht="15.75" customHeight="1">
      <c r="A995" s="2"/>
      <c r="B995" s="2"/>
      <c r="C995" s="2"/>
    </row>
    <row r="996" spans="1:3" ht="15.75" customHeight="1">
      <c r="A996" s="2"/>
      <c r="B996" s="2"/>
      <c r="C996" s="2"/>
    </row>
    <row r="997" spans="1:3" ht="15.75" customHeight="1">
      <c r="A997" s="2"/>
      <c r="B997" s="2"/>
      <c r="C997" s="2"/>
    </row>
    <row r="998" spans="1:3" ht="15.75" customHeight="1">
      <c r="A998" s="2"/>
      <c r="B998" s="2"/>
      <c r="C998" s="2"/>
    </row>
    <row r="999" spans="1:3" ht="15.75" customHeight="1">
      <c r="A999" s="2"/>
      <c r="B999" s="2"/>
      <c r="C999" s="2"/>
    </row>
    <row r="1000" spans="1:3" ht="15.75" customHeight="1">
      <c r="A1000" s="2"/>
      <c r="B1000" s="2"/>
      <c r="C1000" s="2"/>
    </row>
  </sheetData>
  <pageMargins left="0" right="0" top="0" bottom="0" header="0" footer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I1015"/>
  <sheetViews>
    <sheetView showGridLines="0" workbookViewId="0">
      <selection activeCell="B11" sqref="A11:B11"/>
    </sheetView>
  </sheetViews>
  <sheetFormatPr defaultColWidth="12.5703125" defaultRowHeight="15" customHeight="1"/>
  <cols>
    <col min="1" max="1" width="27.5703125" style="2" customWidth="1"/>
    <col min="2" max="2" width="18" style="2" bestFit="1" customWidth="1"/>
    <col min="3" max="3" width="14.42578125" style="2" bestFit="1" customWidth="1"/>
    <col min="4" max="4" width="14.28515625" style="2" customWidth="1"/>
    <col min="5" max="5" width="14.42578125" style="2" customWidth="1"/>
    <col min="6" max="7" width="12.5703125" style="2"/>
    <col min="8" max="8" width="17.7109375" bestFit="1" customWidth="1"/>
    <col min="9" max="25" width="12.5703125" style="2"/>
  </cols>
  <sheetData>
    <row r="1" spans="1:8" ht="12.75">
      <c r="A1" s="102" t="s">
        <v>150</v>
      </c>
      <c r="H1" s="2"/>
    </row>
    <row r="2" spans="1:8" ht="13.5">
      <c r="A2" s="66" t="s">
        <v>10</v>
      </c>
      <c r="H2" s="2"/>
    </row>
    <row r="3" spans="1:8" ht="13.5">
      <c r="A3" s="66" t="s">
        <v>13</v>
      </c>
      <c r="H3" s="2"/>
    </row>
    <row r="4" spans="1:8" ht="12.75">
      <c r="H4" s="2"/>
    </row>
    <row r="5" spans="1:8" ht="12.75">
      <c r="A5" s="102" t="s">
        <v>151</v>
      </c>
      <c r="B5" s="102" t="s">
        <v>152</v>
      </c>
      <c r="C5" s="103" t="s">
        <v>153</v>
      </c>
      <c r="D5" s="103" t="s">
        <v>154</v>
      </c>
      <c r="E5" s="103" t="s">
        <v>155</v>
      </c>
      <c r="H5" s="126" t="s">
        <v>116</v>
      </c>
    </row>
    <row r="6" spans="1:8" ht="13.5">
      <c r="A6" s="68" t="s">
        <v>86</v>
      </c>
      <c r="B6" s="104">
        <f>D6*640</f>
        <v>16640</v>
      </c>
      <c r="C6" s="104">
        <f>E6*640</f>
        <v>66812160</v>
      </c>
      <c r="D6" s="104">
        <f>ROUND(E6/$B$12,0)</f>
        <v>26</v>
      </c>
      <c r="E6" s="104">
        <v>104394</v>
      </c>
      <c r="H6" s="125" t="s">
        <v>10</v>
      </c>
    </row>
    <row r="7" spans="1:8" ht="13.5">
      <c r="A7" s="68" t="s">
        <v>156</v>
      </c>
      <c r="B7" s="104">
        <f t="shared" ref="B7:C9" si="0">D7*640</f>
        <v>16640</v>
      </c>
      <c r="C7" s="104">
        <f t="shared" si="0"/>
        <v>66812160</v>
      </c>
      <c r="D7" s="104">
        <f t="shared" ref="D7:D9" si="1">ROUND(E7/$B$12,0)</f>
        <v>26</v>
      </c>
      <c r="E7" s="104">
        <v>104394</v>
      </c>
      <c r="H7" s="125" t="s">
        <v>13</v>
      </c>
    </row>
    <row r="8" spans="1:8" ht="12.75" customHeight="1">
      <c r="A8" s="68" t="s">
        <v>157</v>
      </c>
      <c r="B8" s="104">
        <f t="shared" si="0"/>
        <v>16640</v>
      </c>
      <c r="C8" s="104">
        <f t="shared" si="0"/>
        <v>66812160</v>
      </c>
      <c r="D8" s="104">
        <f t="shared" si="1"/>
        <v>26</v>
      </c>
      <c r="E8" s="104">
        <v>104394</v>
      </c>
      <c r="H8" s="125" t="s">
        <v>158</v>
      </c>
    </row>
    <row r="9" spans="1:8" ht="12.75" customHeight="1">
      <c r="A9" s="68" t="s">
        <v>159</v>
      </c>
      <c r="B9" s="104">
        <f t="shared" si="0"/>
        <v>16640</v>
      </c>
      <c r="C9" s="104">
        <f t="shared" si="0"/>
        <v>66812160</v>
      </c>
      <c r="D9" s="104">
        <f t="shared" si="1"/>
        <v>26</v>
      </c>
      <c r="E9" s="104">
        <v>104394</v>
      </c>
      <c r="H9" s="125" t="s">
        <v>160</v>
      </c>
    </row>
    <row r="10" spans="1:8" ht="12.75">
      <c r="H10" s="2"/>
    </row>
    <row r="11" spans="1:8" ht="12.75">
      <c r="A11" s="103" t="s">
        <v>161</v>
      </c>
      <c r="B11" s="103" t="s">
        <v>162</v>
      </c>
      <c r="H11" s="2"/>
    </row>
    <row r="12" spans="1:8" ht="12.75">
      <c r="A12" s="105">
        <v>4000</v>
      </c>
      <c r="B12" s="68">
        <v>4000</v>
      </c>
      <c r="H12" s="2"/>
    </row>
    <row r="13" spans="1:8" ht="12.75">
      <c r="H13" s="2"/>
    </row>
    <row r="14" spans="1:8" ht="12.75">
      <c r="A14" s="103" t="s">
        <v>163</v>
      </c>
      <c r="B14" s="116" t="s">
        <v>164</v>
      </c>
      <c r="H14" s="2"/>
    </row>
    <row r="15" spans="1:8" ht="12.75">
      <c r="A15" s="103" t="s">
        <v>165</v>
      </c>
      <c r="B15" s="116" t="s">
        <v>166</v>
      </c>
      <c r="H15" s="2"/>
    </row>
    <row r="16" spans="1:8" ht="12.75">
      <c r="A16" s="103" t="s">
        <v>167</v>
      </c>
      <c r="B16" s="116" t="s">
        <v>168</v>
      </c>
      <c r="H16" s="2"/>
    </row>
    <row r="17" spans="1:8" ht="12.75">
      <c r="A17" s="103" t="s">
        <v>169</v>
      </c>
      <c r="B17" s="116" t="s">
        <v>170</v>
      </c>
      <c r="H17" s="2"/>
    </row>
    <row r="18" spans="1:8" ht="12.75">
      <c r="A18" s="124" t="s">
        <v>171</v>
      </c>
      <c r="B18" s="123">
        <f>COUNTA('HL Plan'!1:1)-1</f>
        <v>14</v>
      </c>
      <c r="H18" s="2"/>
    </row>
    <row r="19" spans="1:8" ht="12.75">
      <c r="A19" s="124" t="s">
        <v>172</v>
      </c>
      <c r="B19" s="123">
        <f>SUM(44:44)</f>
        <v>1</v>
      </c>
      <c r="H19" s="2"/>
    </row>
    <row r="20" spans="1:8" ht="12.75">
      <c r="A20" s="124" t="s">
        <v>173</v>
      </c>
      <c r="B20" s="123">
        <f>MATCH(1,44:44, 0)-1</f>
        <v>1</v>
      </c>
      <c r="H20" s="2"/>
    </row>
    <row r="21" spans="1:8" ht="12.75">
      <c r="A21" s="128" t="s">
        <v>174</v>
      </c>
      <c r="B21" s="123">
        <f>SUM(45:45)</f>
        <v>0</v>
      </c>
      <c r="H21" s="2"/>
    </row>
    <row r="22" spans="1:8" ht="12.75">
      <c r="A22" s="128" t="s">
        <v>175</v>
      </c>
      <c r="B22" s="123" t="e">
        <f>MATCH(1,45:45, 0)-1</f>
        <v>#N/A</v>
      </c>
      <c r="H22" s="2"/>
    </row>
    <row r="23" spans="1:8" ht="13.5">
      <c r="A23" s="127" t="s">
        <v>176</v>
      </c>
      <c r="B23" s="123">
        <f>SUM(46:46)</f>
        <v>0</v>
      </c>
      <c r="H23" s="2"/>
    </row>
    <row r="24" spans="1:8" ht="13.5">
      <c r="A24" s="129" t="s">
        <v>177</v>
      </c>
      <c r="B24" s="123" t="e">
        <f>MATCH(1,46:46, 0)-1</f>
        <v>#N/A</v>
      </c>
      <c r="H24" s="2"/>
    </row>
    <row r="25" spans="1:8" ht="13.5">
      <c r="A25" s="129" t="s">
        <v>178</v>
      </c>
      <c r="B25" s="123">
        <f>SUM(47:47)</f>
        <v>1</v>
      </c>
      <c r="H25" s="2"/>
    </row>
    <row r="26" spans="1:8" ht="13.5">
      <c r="A26" s="145" t="s">
        <v>179</v>
      </c>
      <c r="B26" s="146">
        <f>MATCH(1,47:47, 0)-1</f>
        <v>1</v>
      </c>
      <c r="H26" s="2"/>
    </row>
    <row r="27" spans="1:8" ht="13.5">
      <c r="A27" s="127" t="s">
        <v>180</v>
      </c>
      <c r="B27" s="123">
        <f>Total!E5</f>
        <v>1</v>
      </c>
      <c r="H27" s="2"/>
    </row>
    <row r="28" spans="1:8" ht="13.5">
      <c r="A28" s="145" t="s">
        <v>181</v>
      </c>
      <c r="B28" s="146">
        <f>MATCH(1,48:48, 0)-1</f>
        <v>1</v>
      </c>
      <c r="H28" s="2"/>
    </row>
    <row r="29" spans="1:8" ht="13.5">
      <c r="A29" s="127" t="s">
        <v>182</v>
      </c>
      <c r="B29" s="123">
        <f>SUM(48:48)</f>
        <v>1</v>
      </c>
      <c r="H29" s="2"/>
    </row>
    <row r="30" spans="1:8" ht="12.75">
      <c r="H30" s="2"/>
    </row>
    <row r="31" spans="1:8" ht="13.5" customHeight="1">
      <c r="A31" s="213" t="s">
        <v>10</v>
      </c>
      <c r="B31" s="228" t="s">
        <v>183</v>
      </c>
      <c r="C31" s="228"/>
      <c r="H31" s="2"/>
    </row>
    <row r="32" spans="1:8" ht="39.75" customHeight="1">
      <c r="A32" s="213"/>
      <c r="B32" s="216" t="s">
        <v>184</v>
      </c>
      <c r="C32" s="216"/>
      <c r="H32" s="2"/>
    </row>
    <row r="33" spans="1:87" ht="15.75" customHeight="1">
      <c r="A33" s="213" t="s">
        <v>13</v>
      </c>
      <c r="B33" s="217" t="s">
        <v>185</v>
      </c>
      <c r="C33" s="217"/>
      <c r="H33" s="2"/>
    </row>
    <row r="34" spans="1:87" ht="54" customHeight="1">
      <c r="A34" s="218"/>
      <c r="B34" s="214" t="s">
        <v>186</v>
      </c>
      <c r="C34" s="215"/>
      <c r="H34" s="2"/>
    </row>
    <row r="35" spans="1:87" ht="15.75" customHeight="1">
      <c r="A35" s="218"/>
      <c r="B35" s="222" t="s">
        <v>187</v>
      </c>
      <c r="C35" s="223"/>
      <c r="H35" s="2"/>
    </row>
    <row r="36" spans="1:87" ht="13.5" customHeight="1">
      <c r="A36" s="219" t="s">
        <v>158</v>
      </c>
      <c r="B36" s="211" t="s">
        <v>188</v>
      </c>
      <c r="C36" s="212"/>
      <c r="H36" s="2"/>
    </row>
    <row r="37" spans="1:87" ht="13.5" customHeight="1">
      <c r="A37" s="220"/>
      <c r="B37" s="222" t="s">
        <v>189</v>
      </c>
      <c r="C37" s="223"/>
      <c r="H37" s="2"/>
    </row>
    <row r="38" spans="1:87" ht="12.75">
      <c r="A38" s="221"/>
      <c r="B38" s="214" t="s">
        <v>190</v>
      </c>
      <c r="C38" s="215"/>
      <c r="H38" s="2"/>
    </row>
    <row r="39" spans="1:87" ht="27" customHeight="1">
      <c r="A39" s="213" t="s">
        <v>160</v>
      </c>
      <c r="B39" s="214" t="s">
        <v>191</v>
      </c>
      <c r="C39" s="215"/>
      <c r="H39" s="2"/>
    </row>
    <row r="40" spans="1:87" ht="25.5" customHeight="1">
      <c r="A40" s="213"/>
      <c r="B40" s="214" t="s">
        <v>192</v>
      </c>
      <c r="C40" s="215"/>
      <c r="H40" s="2"/>
    </row>
    <row r="41" spans="1:87" ht="12.75">
      <c r="H41" s="2"/>
    </row>
    <row r="42" spans="1:87" ht="12.75">
      <c r="H42" s="2"/>
    </row>
    <row r="43" spans="1:87" ht="12.75">
      <c r="H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</row>
    <row r="44" spans="1:87" ht="12.75">
      <c r="A44" s="124" t="s">
        <v>172</v>
      </c>
      <c r="B44" s="130">
        <f>IF(ISERROR(COUNTIF('HL Plan'!B1:B102,1)), 0, IF(COUNTIF('HL Plan'!B1:B102,1)&gt;0,1,0))</f>
        <v>1</v>
      </c>
      <c r="C44" s="130">
        <f>IF(ISERROR(COUNTIF('HL Plan'!C1:C102,1)), 0, IF(COUNTIF('HL Plan'!C1:C102,1)&gt;0,1,0))</f>
        <v>0</v>
      </c>
      <c r="D44" s="130">
        <f>IF(ISERROR(COUNTIF('HL Plan'!D1:D102,1)), 0, IF(COUNTIF('HL Plan'!D1:D102,1)&gt;0,1,0))</f>
        <v>0</v>
      </c>
      <c r="E44" s="130">
        <f>IF(ISERROR(COUNTIF('HL Plan'!E1:E102,1)), 0, IF(COUNTIF('HL Plan'!E1:E102,1)&gt;0,1,0))</f>
        <v>0</v>
      </c>
      <c r="F44" s="130">
        <f>IF(ISERROR(COUNTIF('HL Plan'!F1:F102,1)), 0, IF(COUNTIF('HL Plan'!F1:F102,1)&gt;0,1,0))</f>
        <v>0</v>
      </c>
      <c r="G44" s="130">
        <f>IF(ISERROR(COUNTIF('HL Plan'!G1:G102,1)), 0, IF(COUNTIF('HL Plan'!G1:G102,1)&gt;0,1,0))</f>
        <v>0</v>
      </c>
      <c r="H44" s="130">
        <f>IF(ISERROR(COUNTIF('HL Plan'!H1:H102,1)), 0, IF(COUNTIF('HL Plan'!H1:H102,1)&gt;0,1,0))</f>
        <v>0</v>
      </c>
      <c r="I44" s="130">
        <f>IF(ISERROR(COUNTIF('HL Plan'!I1:I102,1)), 0, IF(COUNTIF('HL Plan'!I1:I102,1)&gt;0,1,0))</f>
        <v>0</v>
      </c>
      <c r="J44" s="130">
        <f>IF(ISERROR(COUNTIF('HL Plan'!J1:J102,1)), 0, IF(COUNTIF('HL Plan'!J1:J102,1)&gt;0,1,0))</f>
        <v>0</v>
      </c>
      <c r="K44" s="130">
        <f>IF(ISERROR(COUNTIF('HL Plan'!K1:K102,1)), 0, IF(COUNTIF('HL Plan'!K1:K102,1)&gt;0,1,0))</f>
        <v>0</v>
      </c>
      <c r="L44" s="130">
        <f>IF(ISERROR(COUNTIF('HL Plan'!L1:L102,1)), 0, IF(COUNTIF('HL Plan'!L1:L102,1)&gt;0,1,0))</f>
        <v>0</v>
      </c>
      <c r="M44" s="130">
        <f>IF(ISERROR(COUNTIF('HL Plan'!M1:M102,1)), 0, IF(COUNTIF('HL Plan'!M1:M102,1)&gt;0,1,0))</f>
        <v>0</v>
      </c>
      <c r="N44" s="130">
        <f>IF(ISERROR(COUNTIF('HL Plan'!N1:N102,1)), 0, IF(COUNTIF('HL Plan'!N1:N102,1)&gt;0,1,0))</f>
        <v>0</v>
      </c>
      <c r="O44" s="130">
        <f>IF(ISERROR(COUNTIF('HL Plan'!O1:O102,1)), 0, IF(COUNTIF('HL Plan'!O1:O102,1)&gt;0,1,0))</f>
        <v>0</v>
      </c>
      <c r="P44" s="130">
        <f>IF(ISERROR(COUNTIF('HL Plan'!P1:P102,1)), 0, IF(COUNTIF('HL Plan'!P1:P102,1)&gt;0,1,0))</f>
        <v>0</v>
      </c>
      <c r="Q44" s="130">
        <f>IF(ISERROR(COUNTIF('HL Plan'!Q1:Q102,1)), 0, IF(COUNTIF('HL Plan'!Q1:Q102,1)&gt;0,1,0))</f>
        <v>0</v>
      </c>
      <c r="R44" s="130">
        <f>IF(ISERROR(COUNTIF('HL Plan'!R1:R102,1)), 0, IF(COUNTIF('HL Plan'!R1:R102,1)&gt;0,1,0))</f>
        <v>0</v>
      </c>
      <c r="S44" s="130">
        <f>IF(ISERROR(COUNTIF('HL Plan'!S1:S102,1)), 0, IF(COUNTIF('HL Plan'!S1:S102,1)&gt;0,1,0))</f>
        <v>0</v>
      </c>
      <c r="T44" s="130">
        <f>IF(ISERROR(COUNTIF('HL Plan'!T1:T102,1)), 0, IF(COUNTIF('HL Plan'!T1:T102,1)&gt;0,1,0))</f>
        <v>0</v>
      </c>
      <c r="U44" s="130">
        <f>IF(ISERROR(COUNTIF('HL Plan'!U1:U102,1)), 0, IF(COUNTIF('HL Plan'!U1:U102,1)&gt;0,1,0))</f>
        <v>0</v>
      </c>
      <c r="V44" s="130">
        <f>IF(ISERROR(COUNTIF('HL Plan'!V1:V102,1)), 0, IF(COUNTIF('HL Plan'!V1:V102,1)&gt;0,1,0))</f>
        <v>0</v>
      </c>
      <c r="W44" s="130">
        <f>IF(ISERROR(COUNTIF('HL Plan'!W1:W102,1)), 0, IF(COUNTIF('HL Plan'!W1:W102,1)&gt;0,1,0))</f>
        <v>0</v>
      </c>
      <c r="X44" s="130">
        <f>IF(ISERROR(COUNTIF('HL Plan'!X1:X102,1)), 0, IF(COUNTIF('HL Plan'!X1:X102,1)&gt;0,1,0))</f>
        <v>0</v>
      </c>
      <c r="Y44" s="130">
        <f>IF(ISERROR(COUNTIF('HL Plan'!Y1:Y102,1)), 0, IF(COUNTIF('HL Plan'!Y1:Y102,1)&gt;0,1,0))</f>
        <v>0</v>
      </c>
      <c r="Z44" s="130">
        <f>IF(ISERROR(COUNTIF('HL Plan'!Z1:Z102,1)), 0, IF(COUNTIF('HL Plan'!Z1:Z102,1)&gt;0,1,0))</f>
        <v>0</v>
      </c>
      <c r="AA44" s="130">
        <f>IF(ISERROR(COUNTIF('HL Plan'!AA1:AA102,1)), 0, IF(COUNTIF('HL Plan'!AA1:AA102,1)&gt;0,1,0))</f>
        <v>0</v>
      </c>
      <c r="AB44" s="130">
        <f>IF(ISERROR(COUNTIF('HL Plan'!AB1:AB102,1)), 0, IF(COUNTIF('HL Plan'!AB1:AB102,1)&gt;0,1,0))</f>
        <v>0</v>
      </c>
      <c r="AC44" s="130">
        <f>IF(ISERROR(COUNTIF('HL Plan'!AC1:AC102,1)), 0, IF(COUNTIF('HL Plan'!AC1:AC102,1)&gt;0,1,0))</f>
        <v>0</v>
      </c>
      <c r="AD44" s="130">
        <f>IF(ISERROR(COUNTIF('HL Plan'!AD1:AD102,1)), 0, IF(COUNTIF('HL Plan'!AD1:AD102,1)&gt;0,1,0))</f>
        <v>0</v>
      </c>
      <c r="AE44" s="130">
        <f>IF(ISERROR(COUNTIF('HL Plan'!AE1:AE102,1)), 0, IF(COUNTIF('HL Plan'!AE1:AE102,1)&gt;0,1,0))</f>
        <v>0</v>
      </c>
      <c r="AF44" s="130">
        <f>IF(ISERROR(COUNTIF('HL Plan'!AF1:AF102,1)), 0, IF(COUNTIF('HL Plan'!AF1:AF102,1)&gt;0,1,0))</f>
        <v>0</v>
      </c>
      <c r="AG44" s="130">
        <f>IF(ISERROR(COUNTIF('HL Plan'!AG1:AG102,1)), 0, IF(COUNTIF('HL Plan'!AG1:AG102,1)&gt;0,1,0))</f>
        <v>0</v>
      </c>
      <c r="AH44" s="130">
        <f>IF(ISERROR(COUNTIF('HL Plan'!AH1:AH102,1)), 0, IF(COUNTIF('HL Plan'!AH1:AH102,1)&gt;0,1,0))</f>
        <v>0</v>
      </c>
      <c r="AI44" s="130">
        <f>IF(ISERROR(COUNTIF('HL Plan'!AI1:AI102,1)), 0, IF(COUNTIF('HL Plan'!AI1:AI102,1)&gt;0,1,0))</f>
        <v>0</v>
      </c>
      <c r="AJ44" s="130">
        <f>IF(ISERROR(COUNTIF('HL Plan'!AJ1:AJ102,1)), 0, IF(COUNTIF('HL Plan'!AJ1:AJ102,1)&gt;0,1,0))</f>
        <v>0</v>
      </c>
      <c r="AK44" s="130">
        <f>IF(ISERROR(COUNTIF('HL Plan'!AK1:AK102,1)), 0, IF(COUNTIF('HL Plan'!AK1:AK102,1)&gt;0,1,0))</f>
        <v>0</v>
      </c>
      <c r="AL44" s="130">
        <f>IF(ISERROR(COUNTIF('HL Plan'!AL1:AL102,1)), 0, IF(COUNTIF('HL Plan'!AL1:AL102,1)&gt;0,1,0))</f>
        <v>0</v>
      </c>
      <c r="AM44" s="130">
        <f>IF(ISERROR(COUNTIF('HL Plan'!AM1:AM102,1)), 0, IF(COUNTIF('HL Plan'!AM1:AM102,1)&gt;0,1,0))</f>
        <v>0</v>
      </c>
      <c r="AN44" s="130">
        <f>IF(ISERROR(COUNTIF('HL Plan'!AN1:AN102,1)), 0, IF(COUNTIF('HL Plan'!AN1:AN102,1)&gt;0,1,0))</f>
        <v>0</v>
      </c>
      <c r="AO44" s="130">
        <f>IF(ISERROR(COUNTIF('HL Plan'!AO1:AO102,1)), 0, IF(COUNTIF('HL Plan'!AO1:AO102,1)&gt;0,1,0))</f>
        <v>0</v>
      </c>
      <c r="AP44" s="130">
        <f>IF(ISERROR(COUNTIF('HL Plan'!AP1:AP102,1)), 0, IF(COUNTIF('HL Plan'!AP1:AP102,1)&gt;0,1,0))</f>
        <v>0</v>
      </c>
      <c r="AQ44" s="130">
        <f>IF(ISERROR(COUNTIF('HL Plan'!AQ1:AQ102,1)), 0, IF(COUNTIF('HL Plan'!AQ1:AQ102,1)&gt;0,1,0))</f>
        <v>0</v>
      </c>
      <c r="AR44" s="130">
        <f>IF(ISERROR(COUNTIF('HL Plan'!AR1:AR102,1)), 0, IF(COUNTIF('HL Plan'!AR1:AR102,1)&gt;0,1,0))</f>
        <v>0</v>
      </c>
      <c r="AS44" s="130">
        <f>IF(ISERROR(COUNTIF('HL Plan'!AS1:AS102,1)), 0, IF(COUNTIF('HL Plan'!AS1:AS102,1)&gt;0,1,0))</f>
        <v>0</v>
      </c>
      <c r="AT44" s="130">
        <f>IF(ISERROR(COUNTIF('HL Plan'!AT1:AT102,1)), 0, IF(COUNTIF('HL Plan'!AT1:AT102,1)&gt;0,1,0))</f>
        <v>0</v>
      </c>
      <c r="AU44" s="130">
        <f>IF(ISERROR(COUNTIF('HL Plan'!AU1:AU102,1)), 0, IF(COUNTIF('HL Plan'!AU1:AU102,1)&gt;0,1,0))</f>
        <v>0</v>
      </c>
      <c r="AV44" s="130">
        <f>IF(ISERROR(COUNTIF('HL Plan'!AV1:AV102,1)), 0, IF(COUNTIF('HL Plan'!AV1:AV102,1)&gt;0,1,0))</f>
        <v>0</v>
      </c>
      <c r="AW44" s="130">
        <f>IF(ISERROR(COUNTIF('HL Plan'!AW1:AW102,1)), 0, IF(COUNTIF('HL Plan'!AW1:AW102,1)&gt;0,1,0))</f>
        <v>0</v>
      </c>
      <c r="AX44" s="130">
        <f>IF(ISERROR(COUNTIF('HL Plan'!AX1:AX102,1)), 0, IF(COUNTIF('HL Plan'!AX1:AX102,1)&gt;0,1,0))</f>
        <v>0</v>
      </c>
      <c r="AY44" s="130">
        <f>IF(ISERROR(COUNTIF('HL Plan'!AY1:AY102,1)), 0, IF(COUNTIF('HL Plan'!AY1:AY102,1)&gt;0,1,0))</f>
        <v>0</v>
      </c>
      <c r="AZ44" s="130">
        <f>IF(ISERROR(COUNTIF('HL Plan'!AZ1:AZ102,1)), 0, IF(COUNTIF('HL Plan'!AZ1:AZ102,1)&gt;0,1,0))</f>
        <v>0</v>
      </c>
      <c r="BA44" s="130">
        <f>IF(ISERROR(COUNTIF('HL Plan'!BA1:BA102,1)), 0, IF(COUNTIF('HL Plan'!BA1:BA102,1)&gt;0,1,0))</f>
        <v>0</v>
      </c>
      <c r="BB44" s="130">
        <f>IF(ISERROR(COUNTIF('HL Plan'!BB1:BB102,1)), 0, IF(COUNTIF('HL Plan'!BB1:BB102,1)&gt;0,1,0))</f>
        <v>0</v>
      </c>
      <c r="BC44" s="130">
        <f>IF(ISERROR(COUNTIF('HL Plan'!BC1:BC102,1)), 0, IF(COUNTIF('HL Plan'!BC1:BC102,1)&gt;0,1,0))</f>
        <v>0</v>
      </c>
      <c r="BD44" s="130">
        <f>IF(ISERROR(COUNTIF('HL Plan'!BD1:BD102,1)), 0, IF(COUNTIF('HL Plan'!BD1:BD102,1)&gt;0,1,0))</f>
        <v>0</v>
      </c>
      <c r="BE44" s="130">
        <f>IF(ISERROR(COUNTIF('HL Plan'!BE1:BE102,1)), 0, IF(COUNTIF('HL Plan'!BE1:BE102,1)&gt;0,1,0))</f>
        <v>0</v>
      </c>
      <c r="BF44" s="130">
        <f>IF(ISERROR(COUNTIF('HL Plan'!BF1:BF102,1)), 0, IF(COUNTIF('HL Plan'!BF1:BF102,1)&gt;0,1,0))</f>
        <v>0</v>
      </c>
      <c r="BG44" s="130">
        <f>IF(ISERROR(COUNTIF('HL Plan'!BG1:BG102,1)), 0, IF(COUNTIF('HL Plan'!BG1:BG102,1)&gt;0,1,0))</f>
        <v>0</v>
      </c>
      <c r="BH44" s="130">
        <f>IF(ISERROR(COUNTIF('HL Plan'!BH1:BH102,1)), 0, IF(COUNTIF('HL Plan'!BH1:BH102,1)&gt;0,1,0))</f>
        <v>0</v>
      </c>
      <c r="BI44" s="130">
        <f>IF(ISERROR(COUNTIF('HL Plan'!BI1:BI102,1)), 0, IF(COUNTIF('HL Plan'!BI1:BI102,1)&gt;0,1,0))</f>
        <v>0</v>
      </c>
      <c r="BJ44" s="130">
        <f>IF(ISERROR(COUNTIF('HL Plan'!BJ1:BJ102,1)), 0, IF(COUNTIF('HL Plan'!BJ1:BJ102,1)&gt;0,1,0))</f>
        <v>0</v>
      </c>
      <c r="BK44" s="130">
        <f>IF(ISERROR(COUNTIF('HL Plan'!BK1:BK102,1)), 0, IF(COUNTIF('HL Plan'!BK1:BK102,1)&gt;0,1,0))</f>
        <v>0</v>
      </c>
      <c r="BL44" s="130">
        <f>IF(ISERROR(COUNTIF('HL Plan'!BL1:BL102,1)), 0, IF(COUNTIF('HL Plan'!BL1:BL102,1)&gt;0,1,0))</f>
        <v>0</v>
      </c>
      <c r="BM44" s="130">
        <f>IF(ISERROR(COUNTIF('HL Plan'!BM1:BM102,1)), 0, IF(COUNTIF('HL Plan'!BM1:BM102,1)&gt;0,1,0))</f>
        <v>0</v>
      </c>
      <c r="BN44" s="130">
        <f>IF(ISERROR(COUNTIF('HL Plan'!BN1:BN102,1)), 0, IF(COUNTIF('HL Plan'!BN1:BN102,1)&gt;0,1,0))</f>
        <v>0</v>
      </c>
      <c r="BO44" s="130">
        <f>IF(ISERROR(COUNTIF('HL Plan'!BO1:BO102,1)), 0, IF(COUNTIF('HL Plan'!BO1:BO102,1)&gt;0,1,0))</f>
        <v>0</v>
      </c>
      <c r="BP44" s="130">
        <f>IF(ISERROR(COUNTIF('HL Plan'!BO1:BO102,1)), 0, IF(COUNTIF('HL Plan'!BO1:BO102,1)&gt;0,1,0))</f>
        <v>0</v>
      </c>
      <c r="BQ44" s="130">
        <f>IF(ISERROR(COUNTIF('HL Plan'!BP1:BP102,1)), 0, IF(COUNTIF('HL Plan'!BP1:BP102,1)&gt;0,1,0))</f>
        <v>0</v>
      </c>
      <c r="BR44" s="130">
        <f>IF(ISERROR(COUNTIF('HL Plan'!BQ1:BQ102,1)), 0, IF(COUNTIF('HL Plan'!BQ1:BQ102,1)&gt;0,1,0))</f>
        <v>0</v>
      </c>
      <c r="BS44" s="130">
        <f>IF(ISERROR(COUNTIF('HL Plan'!BR1:BR102,1)), 0, IF(COUNTIF('HL Plan'!BR1:BR102,1)&gt;0,1,0))</f>
        <v>0</v>
      </c>
      <c r="BT44" s="130">
        <f>IF(ISERROR(COUNTIF('HL Plan'!BS1:BS102,1)), 0, IF(COUNTIF('HL Plan'!BS1:BS102,1)&gt;0,1,0))</f>
        <v>0</v>
      </c>
      <c r="BU44" s="130">
        <f>IF(ISERROR(COUNTIF('HL Plan'!BT1:BT102,1)), 0, IF(COUNTIF('HL Plan'!BT1:BT102,1)&gt;0,1,0))</f>
        <v>0</v>
      </c>
      <c r="BV44" s="130">
        <f>IF(ISERROR(COUNTIF('HL Plan'!BU1:BU102,1)), 0, IF(COUNTIF('HL Plan'!BU1:BU102,1)&gt;0,1,0))</f>
        <v>0</v>
      </c>
      <c r="BW44" s="130">
        <f>IF(ISERROR(COUNTIF('HL Plan'!BV1:BV102,1)), 0, IF(COUNTIF('HL Plan'!BV1:BV102,1)&gt;0,1,0))</f>
        <v>0</v>
      </c>
      <c r="BX44" s="130">
        <f>IF(ISERROR(COUNTIF('HL Plan'!BW1:BW102,1)), 0, IF(COUNTIF('HL Plan'!BW1:BW102,1)&gt;0,1,0))</f>
        <v>0</v>
      </c>
      <c r="BY44" s="130">
        <f>IF(ISERROR(COUNTIF('HL Plan'!BX1:BX102,1)), 0, IF(COUNTIF('HL Plan'!BX1:BX102,1)&gt;0,1,0))</f>
        <v>0</v>
      </c>
      <c r="BZ44" s="130">
        <f>IF(ISERROR(COUNTIF('HL Plan'!BY1:BY102,1)), 0, IF(COUNTIF('HL Plan'!BY1:BY102,1)&gt;0,1,0))</f>
        <v>0</v>
      </c>
      <c r="CA44" s="130">
        <f>IF(ISERROR(COUNTIF('HL Plan'!BZ1:BZ102,1)), 0, IF(COUNTIF('HL Plan'!BZ1:BZ102,1)&gt;0,1,0))</f>
        <v>0</v>
      </c>
      <c r="CB44" s="130">
        <f>IF(ISERROR(COUNTIF('HL Plan'!CA1:CA102,1)), 0, IF(COUNTIF('HL Plan'!CA1:CA102,1)&gt;0,1,0))</f>
        <v>0</v>
      </c>
      <c r="CC44" s="130">
        <f>IF(ISERROR(COUNTIF('HL Plan'!CB1:CB102,1)), 0, IF(COUNTIF('HL Plan'!CB1:CB102,1)&gt;0,1,0))</f>
        <v>0</v>
      </c>
      <c r="CD44" s="130">
        <f>IF(ISERROR(COUNTIF('HL Plan'!CC1:CC102,1)), 0, IF(COUNTIF('HL Plan'!CC1:CC102,1)&gt;0,1,0))</f>
        <v>0</v>
      </c>
      <c r="CE44" s="130">
        <f>IF(ISERROR(COUNTIF('HL Plan'!CD1:CD102,1)), 0, IF(COUNTIF('HL Plan'!CD1:CD102,1)&gt;0,1,0))</f>
        <v>0</v>
      </c>
      <c r="CF44" s="130">
        <f>IF(ISERROR(COUNTIF('HL Plan'!CE1:CE102,1)), 0, IF(COUNTIF('HL Plan'!CE1:CE102,1)&gt;0,1,0))</f>
        <v>0</v>
      </c>
      <c r="CG44" s="130">
        <f>IF(ISERROR(COUNTIF('HL Plan'!CF1:CF102,1)), 0, IF(COUNTIF('HL Plan'!CF1:CF102,1)&gt;0,1,0))</f>
        <v>0</v>
      </c>
      <c r="CH44" s="130">
        <f>IF(ISERROR(COUNTIF('HL Plan'!CG1:CG102,1)), 0, IF(COUNTIF('HL Plan'!CG1:CG102,1)&gt;0,1,0))</f>
        <v>0</v>
      </c>
      <c r="CI44" s="130">
        <f>IF(ISERROR(COUNTIF('HL Plan'!CH1:CH102,1)), 0, IF(COUNTIF('HL Plan'!CH1:CH102,1)&gt;0,1,0))</f>
        <v>0</v>
      </c>
    </row>
    <row r="45" spans="1:87" ht="12.75">
      <c r="A45" s="124" t="s">
        <v>174</v>
      </c>
      <c r="B45" s="130">
        <f>IF(ISERROR(COUNTIF('HL Plan'!B1:B102,2)), 0, IF(COUNTIF('HL Plan'!B1:B102,2)&gt;0,1,0))</f>
        <v>0</v>
      </c>
      <c r="C45" s="130">
        <f>IF(ISERROR(COUNTIF('HL Plan'!C1:C102,2)), 0, IF(COUNTIF('HL Plan'!C1:C102,2)&gt;0,1,0))</f>
        <v>0</v>
      </c>
      <c r="D45" s="130">
        <f>IF(ISERROR(COUNTIF('HL Plan'!D1:D102,2)), 0, IF(COUNTIF('HL Plan'!D1:D102,2)&gt;0,1,0))</f>
        <v>0</v>
      </c>
      <c r="E45" s="130">
        <f>IF(ISERROR(COUNTIF('HL Plan'!E1:E102,2)), 0, IF(COUNTIF('HL Plan'!E1:E102,2)&gt;0,1,0))</f>
        <v>0</v>
      </c>
      <c r="F45" s="130">
        <f>IF(ISERROR(COUNTIF('HL Plan'!F1:F102,2)), 0, IF(COUNTIF('HL Plan'!F1:F102,2)&gt;0,1,0))</f>
        <v>0</v>
      </c>
      <c r="G45" s="130">
        <f>IF(ISERROR(COUNTIF('HL Plan'!G1:G102,2)), 0, IF(COUNTIF('HL Plan'!G1:G102,2)&gt;0,1,0))</f>
        <v>0</v>
      </c>
      <c r="H45" s="130">
        <f>IF(ISERROR(COUNTIF('HL Plan'!H1:H102,2)), 0, IF(COUNTIF('HL Plan'!H1:H102,2)&gt;0,1,0))</f>
        <v>0</v>
      </c>
      <c r="I45" s="130">
        <f>IF(ISERROR(COUNTIF('HL Plan'!I1:I102,2)), 0, IF(COUNTIF('HL Plan'!I1:I102,2)&gt;0,1,0))</f>
        <v>0</v>
      </c>
      <c r="J45" s="130">
        <f>IF(ISERROR(COUNTIF('HL Plan'!J1:J102,2)), 0, IF(COUNTIF('HL Plan'!J1:J102,2)&gt;0,1,0))</f>
        <v>0</v>
      </c>
      <c r="K45" s="130">
        <f>IF(ISERROR(COUNTIF('HL Plan'!K1:K102,2)), 0, IF(COUNTIF('HL Plan'!K1:K102,2)&gt;0,1,0))</f>
        <v>0</v>
      </c>
      <c r="L45" s="130">
        <f>IF(ISERROR(COUNTIF('HL Plan'!L1:L102,2)), 0, IF(COUNTIF('HL Plan'!L1:L102,2)&gt;0,1,0))</f>
        <v>0</v>
      </c>
      <c r="M45" s="130">
        <f>IF(ISERROR(COUNTIF('HL Plan'!M1:M102,2)), 0, IF(COUNTIF('HL Plan'!M1:M102,2)&gt;0,1,0))</f>
        <v>0</v>
      </c>
      <c r="N45" s="130">
        <f>IF(ISERROR(COUNTIF('HL Plan'!N1:N102,2)), 0, IF(COUNTIF('HL Plan'!N1:N102,2)&gt;0,1,0))</f>
        <v>0</v>
      </c>
      <c r="O45" s="130">
        <f>IF(ISERROR(COUNTIF('HL Plan'!O1:O102,2)), 0, IF(COUNTIF('HL Plan'!O1:O102,2)&gt;0,1,0))</f>
        <v>0</v>
      </c>
      <c r="P45" s="130">
        <f>IF(ISERROR(COUNTIF('HL Plan'!P1:P102,2)), 0, IF(COUNTIF('HL Plan'!P1:P102,2)&gt;0,1,0))</f>
        <v>0</v>
      </c>
      <c r="Q45" s="130">
        <f>IF(ISERROR(COUNTIF('HL Plan'!Q1:Q102,2)), 0, IF(COUNTIF('HL Plan'!Q1:Q102,2)&gt;0,1,0))</f>
        <v>0</v>
      </c>
      <c r="R45" s="130">
        <f>IF(ISERROR(COUNTIF('HL Plan'!R1:R102,2)), 0, IF(COUNTIF('HL Plan'!R1:R102,2)&gt;0,1,0))</f>
        <v>0</v>
      </c>
      <c r="S45" s="130">
        <f>IF(ISERROR(COUNTIF('HL Plan'!S1:S102,2)), 0, IF(COUNTIF('HL Plan'!S1:S102,2)&gt;0,1,0))</f>
        <v>0</v>
      </c>
      <c r="T45" s="130">
        <f>IF(ISERROR(COUNTIF('HL Plan'!T1:T102,2)), 0, IF(COUNTIF('HL Plan'!T1:T102,2)&gt;0,1,0))</f>
        <v>0</v>
      </c>
      <c r="U45" s="130">
        <f>IF(ISERROR(COUNTIF('HL Plan'!U1:U102,2)), 0, IF(COUNTIF('HL Plan'!U1:U102,2)&gt;0,1,0))</f>
        <v>0</v>
      </c>
      <c r="V45" s="130">
        <f>IF(ISERROR(COUNTIF('HL Plan'!V1:V102,2)), 0, IF(COUNTIF('HL Plan'!V1:V102,2)&gt;0,1,0))</f>
        <v>0</v>
      </c>
      <c r="W45" s="130">
        <f>IF(ISERROR(COUNTIF('HL Plan'!W1:W102,2)), 0, IF(COUNTIF('HL Plan'!W1:W102,2)&gt;0,1,0))</f>
        <v>0</v>
      </c>
      <c r="X45" s="130">
        <f>IF(ISERROR(COUNTIF('HL Plan'!X1:X102,2)), 0, IF(COUNTIF('HL Plan'!X1:X102,2)&gt;0,1,0))</f>
        <v>0</v>
      </c>
      <c r="Y45" s="130">
        <f>IF(ISERROR(COUNTIF('HL Plan'!Y1:Y102,2)), 0, IF(COUNTIF('HL Plan'!Y1:Y102,2)&gt;0,1,0))</f>
        <v>0</v>
      </c>
      <c r="Z45" s="130">
        <f>IF(ISERROR(COUNTIF('HL Plan'!Z1:Z102,2)), 0, IF(COUNTIF('HL Plan'!Z1:Z102,2)&gt;0,1,0))</f>
        <v>0</v>
      </c>
      <c r="AA45" s="130">
        <f>IF(ISERROR(COUNTIF('HL Plan'!AA1:AA102,2)), 0, IF(COUNTIF('HL Plan'!AA1:AA102,2)&gt;0,1,0))</f>
        <v>0</v>
      </c>
      <c r="AB45" s="130">
        <f>IF(ISERROR(COUNTIF('HL Plan'!AB1:AB102,2)), 0, IF(COUNTIF('HL Plan'!AB1:AB102,2)&gt;0,1,0))</f>
        <v>0</v>
      </c>
      <c r="AC45" s="130">
        <f>IF(ISERROR(COUNTIF('HL Plan'!AC1:AC102,2)), 0, IF(COUNTIF('HL Plan'!AC1:AC102,2)&gt;0,1,0))</f>
        <v>0</v>
      </c>
      <c r="AD45" s="130">
        <f>IF(ISERROR(COUNTIF('HL Plan'!AD1:AD102,2)), 0, IF(COUNTIF('HL Plan'!AD1:AD102,2)&gt;0,1,0))</f>
        <v>0</v>
      </c>
      <c r="AE45" s="130">
        <f>IF(ISERROR(COUNTIF('HL Plan'!AE1:AE102,2)), 0, IF(COUNTIF('HL Plan'!AE1:AE102,2)&gt;0,1,0))</f>
        <v>0</v>
      </c>
      <c r="AF45" s="130">
        <f>IF(ISERROR(COUNTIF('HL Plan'!AF1:AF102,2)), 0, IF(COUNTIF('HL Plan'!AF1:AF102,2)&gt;0,1,0))</f>
        <v>0</v>
      </c>
      <c r="AG45" s="130">
        <f>IF(ISERROR(COUNTIF('HL Plan'!AG1:AG102,2)), 0, IF(COUNTIF('HL Plan'!AG1:AG102,2)&gt;0,1,0))</f>
        <v>0</v>
      </c>
      <c r="AH45" s="130">
        <f>IF(ISERROR(COUNTIF('HL Plan'!AH1:AH102,2)), 0, IF(COUNTIF('HL Plan'!AH1:AH102,2)&gt;0,1,0))</f>
        <v>0</v>
      </c>
      <c r="AI45" s="130">
        <f>IF(ISERROR(COUNTIF('HL Plan'!AI1:AI102,2)), 0, IF(COUNTIF('HL Plan'!AI1:AI102,2)&gt;0,1,0))</f>
        <v>0</v>
      </c>
      <c r="AJ45" s="130">
        <f>IF(ISERROR(COUNTIF('HL Plan'!AJ1:AJ102,2)), 0, IF(COUNTIF('HL Plan'!AJ1:AJ102,2)&gt;0,1,0))</f>
        <v>0</v>
      </c>
      <c r="AK45" s="130">
        <f>IF(ISERROR(COUNTIF('HL Plan'!AK1:AK102,2)), 0, IF(COUNTIF('HL Plan'!AK1:AK102,2)&gt;0,1,0))</f>
        <v>0</v>
      </c>
      <c r="AL45" s="130">
        <f>IF(ISERROR(COUNTIF('HL Plan'!AL1:AL102,2)), 0, IF(COUNTIF('HL Plan'!AL1:AL102,2)&gt;0,1,0))</f>
        <v>0</v>
      </c>
      <c r="AM45" s="130">
        <f>IF(ISERROR(COUNTIF('HL Plan'!AM1:AM102,2)), 0, IF(COUNTIF('HL Plan'!AM1:AM102,2)&gt;0,1,0))</f>
        <v>0</v>
      </c>
      <c r="AN45" s="130">
        <f>IF(ISERROR(COUNTIF('HL Plan'!AN1:AN102,2)), 0, IF(COUNTIF('HL Plan'!AN1:AN102,2)&gt;0,1,0))</f>
        <v>0</v>
      </c>
      <c r="AO45" s="130">
        <f>IF(ISERROR(COUNTIF('HL Plan'!AO1:AO102,2)), 0, IF(COUNTIF('HL Plan'!AO1:AO102,2)&gt;0,1,0))</f>
        <v>0</v>
      </c>
      <c r="AP45" s="130">
        <f>IF(ISERROR(COUNTIF('HL Plan'!AP1:AP102,2)), 0, IF(COUNTIF('HL Plan'!AP1:AP102,2)&gt;0,1,0))</f>
        <v>0</v>
      </c>
      <c r="AQ45" s="130">
        <f>IF(ISERROR(COUNTIF('HL Plan'!AQ1:AQ102,2)), 0, IF(COUNTIF('HL Plan'!AQ1:AQ102,2)&gt;0,1,0))</f>
        <v>0</v>
      </c>
      <c r="AR45" s="130">
        <f>IF(ISERROR(COUNTIF('HL Plan'!AR1:AR102,2)), 0, IF(COUNTIF('HL Plan'!AR1:AR102,2)&gt;0,1,0))</f>
        <v>0</v>
      </c>
      <c r="AS45" s="130">
        <f>IF(ISERROR(COUNTIF('HL Plan'!AS1:AS102,2)), 0, IF(COUNTIF('HL Plan'!AS1:AS102,2)&gt;0,1,0))</f>
        <v>0</v>
      </c>
      <c r="AT45" s="130">
        <f>IF(ISERROR(COUNTIF('HL Plan'!AT1:AT102,2)), 0, IF(COUNTIF('HL Plan'!AT1:AT102,2)&gt;0,1,0))</f>
        <v>0</v>
      </c>
      <c r="AU45" s="130">
        <f>IF(ISERROR(COUNTIF('HL Plan'!AU1:AU102,2)), 0, IF(COUNTIF('HL Plan'!AU1:AU102,2)&gt;0,1,0))</f>
        <v>0</v>
      </c>
      <c r="AV45" s="130">
        <f>IF(ISERROR(COUNTIF('HL Plan'!AV1:AV102,2)), 0, IF(COUNTIF('HL Plan'!AV1:AV102,2)&gt;0,1,0))</f>
        <v>0</v>
      </c>
      <c r="AW45" s="130">
        <f>IF(ISERROR(COUNTIF('HL Plan'!AW1:AW102,2)), 0, IF(COUNTIF('HL Plan'!AW1:AW102,2)&gt;0,1,0))</f>
        <v>0</v>
      </c>
      <c r="AX45" s="130">
        <f>IF(ISERROR(COUNTIF('HL Plan'!AX1:AX102,2)), 0, IF(COUNTIF('HL Plan'!AX1:AX102,2)&gt;0,1,0))</f>
        <v>0</v>
      </c>
      <c r="AY45" s="130">
        <f>IF(ISERROR(COUNTIF('HL Plan'!AY1:AY102,2)), 0, IF(COUNTIF('HL Plan'!AY1:AY102,2)&gt;0,1,0))</f>
        <v>0</v>
      </c>
      <c r="AZ45" s="130">
        <f>IF(ISERROR(COUNTIF('HL Plan'!AZ1:AZ102,2)), 0, IF(COUNTIF('HL Plan'!AZ1:AZ102,2)&gt;0,1,0))</f>
        <v>0</v>
      </c>
      <c r="BA45" s="130">
        <f>IF(ISERROR(COUNTIF('HL Plan'!BA1:BA102,2)), 0, IF(COUNTIF('HL Plan'!BA1:BA102,2)&gt;0,1,0))</f>
        <v>0</v>
      </c>
      <c r="BB45" s="130">
        <f>IF(ISERROR(COUNTIF('HL Plan'!BB1:BB102,2)), 0, IF(COUNTIF('HL Plan'!BB1:BB102,2)&gt;0,1,0))</f>
        <v>0</v>
      </c>
      <c r="BC45" s="130">
        <f>IF(ISERROR(COUNTIF('HL Plan'!BC1:BC102,2)), 0, IF(COUNTIF('HL Plan'!BC1:BC102,2)&gt;0,1,0))</f>
        <v>0</v>
      </c>
      <c r="BD45" s="130">
        <f>IF(ISERROR(COUNTIF('HL Plan'!BD1:BD102,2)), 0, IF(COUNTIF('HL Plan'!BD1:BD102,2)&gt;0,1,0))</f>
        <v>0</v>
      </c>
      <c r="BE45" s="130">
        <f>IF(ISERROR(COUNTIF('HL Plan'!BE1:BE102,2)), 0, IF(COUNTIF('HL Plan'!BE1:BE102,2)&gt;0,1,0))</f>
        <v>0</v>
      </c>
      <c r="BF45" s="130">
        <f>IF(ISERROR(COUNTIF('HL Plan'!BF1:BF102,2)), 0, IF(COUNTIF('HL Plan'!BF1:BF102,2)&gt;0,1,0))</f>
        <v>0</v>
      </c>
      <c r="BG45" s="130">
        <f>IF(ISERROR(COUNTIF('HL Plan'!BG1:BG102,2)), 0, IF(COUNTIF('HL Plan'!BG1:BG102,2)&gt;0,1,0))</f>
        <v>0</v>
      </c>
      <c r="BH45" s="130">
        <f>IF(ISERROR(COUNTIF('HL Plan'!BH1:BH102,2)), 0, IF(COUNTIF('HL Plan'!BH1:BH102,2)&gt;0,1,0))</f>
        <v>0</v>
      </c>
      <c r="BI45" s="130">
        <f>IF(ISERROR(COUNTIF('HL Plan'!BI1:BI102,2)), 0, IF(COUNTIF('HL Plan'!BI1:BI102,2)&gt;0,1,0))</f>
        <v>0</v>
      </c>
      <c r="BJ45" s="130">
        <f>IF(ISERROR(COUNTIF('HL Plan'!BJ1:BJ102,2)), 0, IF(COUNTIF('HL Plan'!BJ1:BJ102,2)&gt;0,1,0))</f>
        <v>0</v>
      </c>
      <c r="BK45" s="130">
        <f>IF(ISERROR(COUNTIF('HL Plan'!BK1:BK102,2)), 0, IF(COUNTIF('HL Plan'!BK1:BK102,2)&gt;0,1,0))</f>
        <v>0</v>
      </c>
      <c r="BL45" s="130">
        <f>IF(ISERROR(COUNTIF('HL Plan'!BL1:BL102,2)), 0, IF(COUNTIF('HL Plan'!BL1:BL102,2)&gt;0,1,0))</f>
        <v>0</v>
      </c>
      <c r="BM45" s="130">
        <f>IF(ISERROR(COUNTIF('HL Plan'!BM1:BM102,2)), 0, IF(COUNTIF('HL Plan'!BM1:BM102,2)&gt;0,1,0))</f>
        <v>0</v>
      </c>
      <c r="BN45" s="130">
        <f>IF(ISERROR(COUNTIF('HL Plan'!BN1:BN102,2)), 0, IF(COUNTIF('HL Plan'!BN1:BN102,2)&gt;0,1,0))</f>
        <v>0</v>
      </c>
      <c r="BO45" s="130">
        <f>IF(ISERROR(COUNTIF('HL Plan'!BO1:BO102,2)), 0, IF(COUNTIF('HL Plan'!BO1:BO102,2)&gt;0,1,0))</f>
        <v>0</v>
      </c>
      <c r="BP45" s="130">
        <f>IF(ISERROR(COUNTIF('HL Plan'!BO1:BO102,2)), 0, IF(COUNTIF('HL Plan'!BO1:BO102,2)&gt;0,1,0))</f>
        <v>0</v>
      </c>
      <c r="BQ45" s="130">
        <f>IF(ISERROR(COUNTIF('HL Plan'!BP1:BP102,2)), 0, IF(COUNTIF('HL Plan'!BP1:BP102,2)&gt;0,1,0))</f>
        <v>0</v>
      </c>
      <c r="BR45" s="130">
        <f>IF(ISERROR(COUNTIF('HL Plan'!BQ1:BQ102,2)), 0, IF(COUNTIF('HL Plan'!BQ1:BQ102,2)&gt;0,1,0))</f>
        <v>0</v>
      </c>
      <c r="BS45" s="130">
        <f>IF(ISERROR(COUNTIF('HL Plan'!BR1:BR102,2)), 0, IF(COUNTIF('HL Plan'!BR1:BR102,2)&gt;0,1,0))</f>
        <v>0</v>
      </c>
      <c r="BT45" s="130">
        <f>IF(ISERROR(COUNTIF('HL Plan'!BS1:BS102,2)), 0, IF(COUNTIF('HL Plan'!BS1:BS102,2)&gt;0,1,0))</f>
        <v>0</v>
      </c>
      <c r="BU45" s="130">
        <f>IF(ISERROR(COUNTIF('HL Plan'!BT1:BT102,2)), 0, IF(COUNTIF('HL Plan'!BT1:BT102,2)&gt;0,1,0))</f>
        <v>0</v>
      </c>
      <c r="BV45" s="130">
        <f>IF(ISERROR(COUNTIF('HL Plan'!BU1:BU102,2)), 0, IF(COUNTIF('HL Plan'!BU1:BU102,2)&gt;0,1,0))</f>
        <v>0</v>
      </c>
      <c r="BW45" s="130">
        <f>IF(ISERROR(COUNTIF('HL Plan'!BV1:BV102,2)), 0, IF(COUNTIF('HL Plan'!BV1:BV102,2)&gt;0,1,0))</f>
        <v>0</v>
      </c>
      <c r="BX45" s="130">
        <f>IF(ISERROR(COUNTIF('HL Plan'!BW1:BW102,2)), 0, IF(COUNTIF('HL Plan'!BW1:BW102,2)&gt;0,1,0))</f>
        <v>0</v>
      </c>
      <c r="BY45" s="130">
        <f>IF(ISERROR(COUNTIF('HL Plan'!BX1:BX102,2)), 0, IF(COUNTIF('HL Plan'!BX1:BX102,2)&gt;0,1,0))</f>
        <v>0</v>
      </c>
      <c r="BZ45" s="130">
        <f>IF(ISERROR(COUNTIF('HL Plan'!BY1:BY102,2)), 0, IF(COUNTIF('HL Plan'!BY1:BY102,2)&gt;0,1,0))</f>
        <v>0</v>
      </c>
      <c r="CA45" s="130">
        <f>IF(ISERROR(COUNTIF('HL Plan'!BZ1:BZ102,2)), 0, IF(COUNTIF('HL Plan'!BZ1:BZ102,2)&gt;0,1,0))</f>
        <v>0</v>
      </c>
      <c r="CB45" s="130">
        <f>IF(ISERROR(COUNTIF('HL Plan'!CA1:CA102,2)), 0, IF(COUNTIF('HL Plan'!CA1:CA102,2)&gt;0,1,0))</f>
        <v>0</v>
      </c>
      <c r="CC45" s="130">
        <f>IF(ISERROR(COUNTIF('HL Plan'!CB1:CB102,2)), 0, IF(COUNTIF('HL Plan'!CB1:CB102,2)&gt;0,1,0))</f>
        <v>0</v>
      </c>
      <c r="CD45" s="130">
        <f>IF(ISERROR(COUNTIF('HL Plan'!CC1:CC102,2)), 0, IF(COUNTIF('HL Plan'!CC1:CC102,2)&gt;0,1,0))</f>
        <v>0</v>
      </c>
      <c r="CE45" s="130">
        <f>IF(ISERROR(COUNTIF('HL Plan'!CD1:CD102,2)), 0, IF(COUNTIF('HL Plan'!CD1:CD102,2)&gt;0,1,0))</f>
        <v>0</v>
      </c>
      <c r="CF45" s="130">
        <f>IF(ISERROR(COUNTIF('HL Plan'!CE1:CE102,2)), 0, IF(COUNTIF('HL Plan'!CE1:CE102,2)&gt;0,1,0))</f>
        <v>0</v>
      </c>
      <c r="CG45" s="130">
        <f>IF(ISERROR(COUNTIF('HL Plan'!CF1:CF102,2)), 0, IF(COUNTIF('HL Plan'!CF1:CF102,2)&gt;0,1,0))</f>
        <v>0</v>
      </c>
      <c r="CH45" s="130">
        <f>IF(ISERROR(COUNTIF('HL Plan'!CG1:CG102,2)), 0, IF(COUNTIF('HL Plan'!CG1:CG102,2)&gt;0,1,0))</f>
        <v>0</v>
      </c>
      <c r="CI45" s="130">
        <f>IF(ISERROR(COUNTIF('HL Plan'!CH1:CH102,2)), 0, IF(COUNTIF('HL Plan'!CH1:CH102,2)&gt;0,1,0))</f>
        <v>0</v>
      </c>
    </row>
    <row r="46" spans="1:87" ht="13.5">
      <c r="A46" s="127" t="s">
        <v>176</v>
      </c>
      <c r="B46" s="130">
        <f>IF(ISERROR(COUNTIF('HL Plan'!B1:B102,3)), 0, IF(COUNTIF('HL Plan'!B1:B102,3)&gt;0,1,0))</f>
        <v>0</v>
      </c>
      <c r="C46" s="130">
        <f>IF(ISERROR(COUNTIF('HL Plan'!C1:C102,3)), 0, IF(COUNTIF('HL Plan'!C1:C102,3)&gt;0,1,0))</f>
        <v>0</v>
      </c>
      <c r="D46" s="130">
        <f>IF(ISERROR(COUNTIF('HL Plan'!D1:D102,3)), 0, IF(COUNTIF('HL Plan'!D1:D102,3)&gt;0,1,0))</f>
        <v>0</v>
      </c>
      <c r="E46" s="130">
        <f>IF(ISERROR(COUNTIF('HL Plan'!E1:E102,3)), 0, IF(COUNTIF('HL Plan'!E1:E102,3)&gt;0,1,0))</f>
        <v>0</v>
      </c>
      <c r="F46" s="130">
        <f>IF(ISERROR(COUNTIF('HL Plan'!F1:F102,3)), 0, IF(COUNTIF('HL Plan'!F1:F102,3)&gt;0,1,0))</f>
        <v>0</v>
      </c>
      <c r="G46" s="130">
        <f>IF(ISERROR(COUNTIF('HL Plan'!G1:G102,3)), 0, IF(COUNTIF('HL Plan'!G1:G102,3)&gt;0,1,0))</f>
        <v>0</v>
      </c>
      <c r="H46" s="130">
        <f>IF(ISERROR(COUNTIF('HL Plan'!H1:H102,3)), 0, IF(COUNTIF('HL Plan'!H1:H102,3)&gt;0,1,0))</f>
        <v>0</v>
      </c>
      <c r="I46" s="130">
        <f>IF(ISERROR(COUNTIF('HL Plan'!I1:I102,3)), 0, IF(COUNTIF('HL Plan'!I1:I102,3)&gt;0,1,0))</f>
        <v>0</v>
      </c>
      <c r="J46" s="130">
        <f>IF(ISERROR(COUNTIF('HL Plan'!J1:J102,3)), 0, IF(COUNTIF('HL Plan'!J1:J102,3)&gt;0,1,0))</f>
        <v>0</v>
      </c>
      <c r="K46" s="130">
        <f>IF(ISERROR(COUNTIF('HL Plan'!K1:K102,3)), 0, IF(COUNTIF('HL Plan'!K1:K102,3)&gt;0,1,0))</f>
        <v>0</v>
      </c>
      <c r="L46" s="130">
        <f>IF(ISERROR(COUNTIF('HL Plan'!L1:L102,3)), 0, IF(COUNTIF('HL Plan'!L1:L102,3)&gt;0,1,0))</f>
        <v>0</v>
      </c>
      <c r="M46" s="130">
        <f>IF(ISERROR(COUNTIF('HL Plan'!M1:M102,3)), 0, IF(COUNTIF('HL Plan'!M1:M102,3)&gt;0,1,0))</f>
        <v>0</v>
      </c>
      <c r="N46" s="130">
        <f>IF(ISERROR(COUNTIF('HL Plan'!N1:N102,3)), 0, IF(COUNTIF('HL Plan'!N1:N102,3)&gt;0,1,0))</f>
        <v>0</v>
      </c>
      <c r="O46" s="130">
        <f>IF(ISERROR(COUNTIF('HL Plan'!O1:O102,3)), 0, IF(COUNTIF('HL Plan'!O1:O102,3)&gt;0,1,0))</f>
        <v>0</v>
      </c>
      <c r="P46" s="130">
        <f>IF(ISERROR(COUNTIF('HL Plan'!P1:P102,3)), 0, IF(COUNTIF('HL Plan'!P1:P102,3)&gt;0,1,0))</f>
        <v>0</v>
      </c>
      <c r="Q46" s="130">
        <f>IF(ISERROR(COUNTIF('HL Plan'!Q1:Q102,3)), 0, IF(COUNTIF('HL Plan'!Q1:Q102,3)&gt;0,1,0))</f>
        <v>0</v>
      </c>
      <c r="R46" s="130">
        <f>IF(ISERROR(COUNTIF('HL Plan'!R1:R102,3)), 0, IF(COUNTIF('HL Plan'!R1:R102,3)&gt;0,1,0))</f>
        <v>0</v>
      </c>
      <c r="S46" s="130">
        <f>IF(ISERROR(COUNTIF('HL Plan'!S1:S102,3)), 0, IF(COUNTIF('HL Plan'!S1:S102,3)&gt;0,1,0))</f>
        <v>0</v>
      </c>
      <c r="T46" s="130">
        <f>IF(ISERROR(COUNTIF('HL Plan'!T1:T102,3)), 0, IF(COUNTIF('HL Plan'!T1:T102,3)&gt;0,1,0))</f>
        <v>0</v>
      </c>
      <c r="U46" s="130">
        <f>IF(ISERROR(COUNTIF('HL Plan'!U1:U102,3)), 0, IF(COUNTIF('HL Plan'!U1:U102,3)&gt;0,1,0))</f>
        <v>0</v>
      </c>
      <c r="V46" s="130">
        <f>IF(ISERROR(COUNTIF('HL Plan'!V1:V102,3)), 0, IF(COUNTIF('HL Plan'!V1:V102,3)&gt;0,1,0))</f>
        <v>0</v>
      </c>
      <c r="W46" s="130">
        <f>IF(ISERROR(COUNTIF('HL Plan'!W1:W102,3)), 0, IF(COUNTIF('HL Plan'!W1:W102,3)&gt;0,1,0))</f>
        <v>0</v>
      </c>
      <c r="X46" s="130">
        <f>IF(ISERROR(COUNTIF('HL Plan'!X1:X102,3)), 0, IF(COUNTIF('HL Plan'!X1:X102,3)&gt;0,1,0))</f>
        <v>0</v>
      </c>
      <c r="Y46" s="130">
        <f>IF(ISERROR(COUNTIF('HL Plan'!Y1:Y102,3)), 0, IF(COUNTIF('HL Plan'!Y1:Y102,3)&gt;0,1,0))</f>
        <v>0</v>
      </c>
      <c r="Z46" s="130">
        <f>IF(ISERROR(COUNTIF('HL Plan'!Z1:Z102,3)), 0, IF(COUNTIF('HL Plan'!Z1:Z102,3)&gt;0,1,0))</f>
        <v>0</v>
      </c>
      <c r="AA46" s="130">
        <f>IF(ISERROR(COUNTIF('HL Plan'!AA1:AA102,3)), 0, IF(COUNTIF('HL Plan'!AA1:AA102,3)&gt;0,1,0))</f>
        <v>0</v>
      </c>
      <c r="AB46" s="130">
        <f>IF(ISERROR(COUNTIF('HL Plan'!AB1:AB102,3)), 0, IF(COUNTIF('HL Plan'!AB1:AB102,3)&gt;0,1,0))</f>
        <v>0</v>
      </c>
      <c r="AC46" s="130">
        <f>IF(ISERROR(COUNTIF('HL Plan'!AC1:AC102,3)), 0, IF(COUNTIF('HL Plan'!AC1:AC102,3)&gt;0,1,0))</f>
        <v>0</v>
      </c>
      <c r="AD46" s="130">
        <f>IF(ISERROR(COUNTIF('HL Plan'!AD1:AD102,3)), 0, IF(COUNTIF('HL Plan'!AD1:AD102,3)&gt;0,1,0))</f>
        <v>0</v>
      </c>
      <c r="AE46" s="130">
        <f>IF(ISERROR(COUNTIF('HL Plan'!AE1:AE102,3)), 0, IF(COUNTIF('HL Plan'!AE1:AE102,3)&gt;0,1,0))</f>
        <v>0</v>
      </c>
      <c r="AF46" s="130">
        <f>IF(ISERROR(COUNTIF('HL Plan'!AF1:AF102,3)), 0, IF(COUNTIF('HL Plan'!AF1:AF102,3)&gt;0,1,0))</f>
        <v>0</v>
      </c>
      <c r="AG46" s="130">
        <f>IF(ISERROR(COUNTIF('HL Plan'!AG1:AG102,3)), 0, IF(COUNTIF('HL Plan'!AG1:AG102,3)&gt;0,1,0))</f>
        <v>0</v>
      </c>
      <c r="AH46" s="130">
        <f>IF(ISERROR(COUNTIF('HL Plan'!AH1:AH102,3)), 0, IF(COUNTIF('HL Plan'!AH1:AH102,3)&gt;0,1,0))</f>
        <v>0</v>
      </c>
      <c r="AI46" s="130">
        <f>IF(ISERROR(COUNTIF('HL Plan'!AI1:AI102,3)), 0, IF(COUNTIF('HL Plan'!AI1:AI102,3)&gt;0,1,0))</f>
        <v>0</v>
      </c>
      <c r="AJ46" s="130">
        <f>IF(ISERROR(COUNTIF('HL Plan'!AJ1:AJ102,3)), 0, IF(COUNTIF('HL Plan'!AJ1:AJ102,3)&gt;0,1,0))</f>
        <v>0</v>
      </c>
      <c r="AK46" s="130">
        <f>IF(ISERROR(COUNTIF('HL Plan'!AK1:AK102,3)), 0, IF(COUNTIF('HL Plan'!AK1:AK102,3)&gt;0,1,0))</f>
        <v>0</v>
      </c>
      <c r="AL46" s="130">
        <f>IF(ISERROR(COUNTIF('HL Plan'!AL1:AL102,3)), 0, IF(COUNTIF('HL Plan'!AL1:AL102,3)&gt;0,1,0))</f>
        <v>0</v>
      </c>
      <c r="AM46" s="130">
        <f>IF(ISERROR(COUNTIF('HL Plan'!AM1:AM102,3)), 0, IF(COUNTIF('HL Plan'!AM1:AM102,3)&gt;0,1,0))</f>
        <v>0</v>
      </c>
      <c r="AN46" s="130">
        <f>IF(ISERROR(COUNTIF('HL Plan'!AN1:AN102,3)), 0, IF(COUNTIF('HL Plan'!AN1:AN102,3)&gt;0,1,0))</f>
        <v>0</v>
      </c>
      <c r="AO46" s="130">
        <f>IF(ISERROR(COUNTIF('HL Plan'!AO1:AO102,3)), 0, IF(COUNTIF('HL Plan'!AO1:AO102,3)&gt;0,1,0))</f>
        <v>0</v>
      </c>
      <c r="AP46" s="130">
        <f>IF(ISERROR(COUNTIF('HL Plan'!AP1:AP102,3)), 0, IF(COUNTIF('HL Plan'!AP1:AP102,3)&gt;0,1,0))</f>
        <v>0</v>
      </c>
      <c r="AQ46" s="130">
        <f>IF(ISERROR(COUNTIF('HL Plan'!AQ1:AQ102,3)), 0, IF(COUNTIF('HL Plan'!AQ1:AQ102,3)&gt;0,1,0))</f>
        <v>0</v>
      </c>
      <c r="AR46" s="130">
        <f>IF(ISERROR(COUNTIF('HL Plan'!AR1:AR102,3)), 0, IF(COUNTIF('HL Plan'!AR1:AR102,3)&gt;0,1,0))</f>
        <v>0</v>
      </c>
      <c r="AS46" s="130">
        <f>IF(ISERROR(COUNTIF('HL Plan'!AS1:AS102,3)), 0, IF(COUNTIF('HL Plan'!AS1:AS102,3)&gt;0,1,0))</f>
        <v>0</v>
      </c>
      <c r="AT46" s="130">
        <f>IF(ISERROR(COUNTIF('HL Plan'!AT1:AT102,3)), 0, IF(COUNTIF('HL Plan'!AT1:AT102,3)&gt;0,1,0))</f>
        <v>0</v>
      </c>
      <c r="AU46" s="130">
        <f>IF(ISERROR(COUNTIF('HL Plan'!AU1:AU102,3)), 0, IF(COUNTIF('HL Plan'!AU1:AU102,3)&gt;0,1,0))</f>
        <v>0</v>
      </c>
      <c r="AV46" s="130">
        <f>IF(ISERROR(COUNTIF('HL Plan'!AV1:AV102,3)), 0, IF(COUNTIF('HL Plan'!AV1:AV102,3)&gt;0,1,0))</f>
        <v>0</v>
      </c>
      <c r="AW46" s="130">
        <f>IF(ISERROR(COUNTIF('HL Plan'!AW1:AW102,3)), 0, IF(COUNTIF('HL Plan'!AW1:AW102,3)&gt;0,1,0))</f>
        <v>0</v>
      </c>
      <c r="AX46" s="130">
        <f>IF(ISERROR(COUNTIF('HL Plan'!AX1:AX102,3)), 0, IF(COUNTIF('HL Plan'!AX1:AX102,3)&gt;0,1,0))</f>
        <v>0</v>
      </c>
      <c r="AY46" s="130">
        <f>IF(ISERROR(COUNTIF('HL Plan'!AY1:AY102,3)), 0, IF(COUNTIF('HL Plan'!AY1:AY102,3)&gt;0,1,0))</f>
        <v>0</v>
      </c>
      <c r="AZ46" s="130">
        <f>IF(ISERROR(COUNTIF('HL Plan'!AZ1:AZ102,3)), 0, IF(COUNTIF('HL Plan'!AZ1:AZ102,3)&gt;0,1,0))</f>
        <v>0</v>
      </c>
      <c r="BA46" s="130">
        <f>IF(ISERROR(COUNTIF('HL Plan'!BA1:BA102,3)), 0, IF(COUNTIF('HL Plan'!BA1:BA102,3)&gt;0,1,0))</f>
        <v>0</v>
      </c>
      <c r="BB46" s="130">
        <f>IF(ISERROR(COUNTIF('HL Plan'!BB1:BB102,3)), 0, IF(COUNTIF('HL Plan'!BB1:BB102,3)&gt;0,1,0))</f>
        <v>0</v>
      </c>
      <c r="BC46" s="130">
        <f>IF(ISERROR(COUNTIF('HL Plan'!BC1:BC102,3)), 0, IF(COUNTIF('HL Plan'!BC1:BC102,3)&gt;0,1,0))</f>
        <v>0</v>
      </c>
      <c r="BD46" s="130">
        <f>IF(ISERROR(COUNTIF('HL Plan'!BD1:BD102,3)), 0, IF(COUNTIF('HL Plan'!BD1:BD102,3)&gt;0,1,0))</f>
        <v>0</v>
      </c>
      <c r="BE46" s="130">
        <f>IF(ISERROR(COUNTIF('HL Plan'!BE1:BE102,3)), 0, IF(COUNTIF('HL Plan'!BE1:BE102,3)&gt;0,1,0))</f>
        <v>0</v>
      </c>
      <c r="BF46" s="130">
        <f>IF(ISERROR(COUNTIF('HL Plan'!BF1:BF102,3)), 0, IF(COUNTIF('HL Plan'!BF1:BF102,3)&gt;0,1,0))</f>
        <v>0</v>
      </c>
      <c r="BG46" s="130">
        <f>IF(ISERROR(COUNTIF('HL Plan'!BG1:BG102,3)), 0, IF(COUNTIF('HL Plan'!BG1:BG102,3)&gt;0,1,0))</f>
        <v>0</v>
      </c>
      <c r="BH46" s="130">
        <f>IF(ISERROR(COUNTIF('HL Plan'!BH1:BH102,3)), 0, IF(COUNTIF('HL Plan'!BH1:BH102,3)&gt;0,1,0))</f>
        <v>0</v>
      </c>
      <c r="BI46" s="130">
        <f>IF(ISERROR(COUNTIF('HL Plan'!BI1:BI102,3)), 0, IF(COUNTIF('HL Plan'!BI1:BI102,3)&gt;0,1,0))</f>
        <v>0</v>
      </c>
      <c r="BJ46" s="130">
        <f>IF(ISERROR(COUNTIF('HL Plan'!BJ1:BJ102,3)), 0, IF(COUNTIF('HL Plan'!BJ1:BJ102,3)&gt;0,1,0))</f>
        <v>0</v>
      </c>
      <c r="BK46" s="130">
        <f>IF(ISERROR(COUNTIF('HL Plan'!BK1:BK102,3)), 0, IF(COUNTIF('HL Plan'!BK1:BK102,3)&gt;0,1,0))</f>
        <v>0</v>
      </c>
      <c r="BL46" s="130">
        <f>IF(ISERROR(COUNTIF('HL Plan'!BL1:BL102,3)), 0, IF(COUNTIF('HL Plan'!BL1:BL102,3)&gt;0,1,0))</f>
        <v>0</v>
      </c>
      <c r="BM46" s="130">
        <f>IF(ISERROR(COUNTIF('HL Plan'!BM1:BM102,3)), 0, IF(COUNTIF('HL Plan'!BM1:BM102,3)&gt;0,1,0))</f>
        <v>0</v>
      </c>
      <c r="BN46" s="130">
        <f>IF(ISERROR(COUNTIF('HL Plan'!BN1:BN102,3)), 0, IF(COUNTIF('HL Plan'!BN1:BN102,3)&gt;0,1,0))</f>
        <v>0</v>
      </c>
      <c r="BO46" s="130">
        <f>IF(ISERROR(COUNTIF('HL Plan'!BO1:BO102,3)), 0, IF(COUNTIF('HL Plan'!BO1:BO102,3)&gt;0,1,0))</f>
        <v>0</v>
      </c>
      <c r="BP46" s="130">
        <f>IF(ISERROR(COUNTIF('HL Plan'!BO1:BO102,3)), 0, IF(COUNTIF('HL Plan'!BO1:BO102,3)&gt;0,1,0))</f>
        <v>0</v>
      </c>
      <c r="BQ46" s="130">
        <f>IF(ISERROR(COUNTIF('HL Plan'!BP1:BP102,3)), 0, IF(COUNTIF('HL Plan'!BP1:BP102,3)&gt;0,1,0))</f>
        <v>0</v>
      </c>
      <c r="BR46" s="130">
        <f>IF(ISERROR(COUNTIF('HL Plan'!BQ1:BQ102,3)), 0, IF(COUNTIF('HL Plan'!BQ1:BQ102,3)&gt;0,1,0))</f>
        <v>0</v>
      </c>
      <c r="BS46" s="130">
        <f>IF(ISERROR(COUNTIF('HL Plan'!BR1:BR102,3)), 0, IF(COUNTIF('HL Plan'!BR1:BR102,3)&gt;0,1,0))</f>
        <v>0</v>
      </c>
      <c r="BT46" s="130">
        <f>IF(ISERROR(COUNTIF('HL Plan'!BS1:BS102,3)), 0, IF(COUNTIF('HL Plan'!BS1:BS102,3)&gt;0,1,0))</f>
        <v>0</v>
      </c>
      <c r="BU46" s="130">
        <f>IF(ISERROR(COUNTIF('HL Plan'!BT1:BT102,3)), 0, IF(COUNTIF('HL Plan'!BT1:BT102,3)&gt;0,1,0))</f>
        <v>0</v>
      </c>
      <c r="BV46" s="130">
        <f>IF(ISERROR(COUNTIF('HL Plan'!BU1:BU102,3)), 0, IF(COUNTIF('HL Plan'!BU1:BU102,3)&gt;0,1,0))</f>
        <v>0</v>
      </c>
      <c r="BW46" s="130">
        <f>IF(ISERROR(COUNTIF('HL Plan'!BV1:BV102,3)), 0, IF(COUNTIF('HL Plan'!BV1:BV102,3)&gt;0,1,0))</f>
        <v>0</v>
      </c>
      <c r="BX46" s="130">
        <f>IF(ISERROR(COUNTIF('HL Plan'!BW1:BW102,3)), 0, IF(COUNTIF('HL Plan'!BW1:BW102,3)&gt;0,1,0))</f>
        <v>0</v>
      </c>
      <c r="BY46" s="130">
        <f>IF(ISERROR(COUNTIF('HL Plan'!BX1:BX102,3)), 0, IF(COUNTIF('HL Plan'!BX1:BX102,3)&gt;0,1,0))</f>
        <v>0</v>
      </c>
      <c r="BZ46" s="130">
        <f>IF(ISERROR(COUNTIF('HL Plan'!BY1:BY102,3)), 0, IF(COUNTIF('HL Plan'!BY1:BY102,3)&gt;0,1,0))</f>
        <v>0</v>
      </c>
      <c r="CA46" s="130">
        <f>IF(ISERROR(COUNTIF('HL Plan'!BZ1:BZ102,3)), 0, IF(COUNTIF('HL Plan'!BZ1:BZ102,3)&gt;0,1,0))</f>
        <v>0</v>
      </c>
      <c r="CB46" s="130">
        <f>IF(ISERROR(COUNTIF('HL Plan'!CA1:CA102,3)), 0, IF(COUNTIF('HL Plan'!CA1:CA102,3)&gt;0,1,0))</f>
        <v>0</v>
      </c>
      <c r="CC46" s="130">
        <f>IF(ISERROR(COUNTIF('HL Plan'!CB1:CB102,3)), 0, IF(COUNTIF('HL Plan'!CB1:CB102,3)&gt;0,1,0))</f>
        <v>0</v>
      </c>
      <c r="CD46" s="130">
        <f>IF(ISERROR(COUNTIF('HL Plan'!CC1:CC102,3)), 0, IF(COUNTIF('HL Plan'!CC1:CC102,3)&gt;0,1,0))</f>
        <v>0</v>
      </c>
      <c r="CE46" s="130">
        <f>IF(ISERROR(COUNTIF('HL Plan'!CD1:CD102,3)), 0, IF(COUNTIF('HL Plan'!CD1:CD102,3)&gt;0,1,0))</f>
        <v>0</v>
      </c>
      <c r="CF46" s="130">
        <f>IF(ISERROR(COUNTIF('HL Plan'!CE1:CE102,3)), 0, IF(COUNTIF('HL Plan'!CE1:CE102,3)&gt;0,1,0))</f>
        <v>0</v>
      </c>
      <c r="CG46" s="130">
        <f>IF(ISERROR(COUNTIF('HL Plan'!CF1:CF102,3)), 0, IF(COUNTIF('HL Plan'!CF1:CF102,3)&gt;0,1,0))</f>
        <v>0</v>
      </c>
      <c r="CH46" s="130">
        <f>IF(ISERROR(COUNTIF('HL Plan'!CG1:CG102,3)), 0, IF(COUNTIF('HL Plan'!CG1:CG102,3)&gt;0,1,0))</f>
        <v>0</v>
      </c>
      <c r="CI46" s="130">
        <f>IF(ISERROR(COUNTIF('HL Plan'!CH1:CH102,3)), 0, IF(COUNTIF('HL Plan'!CH1:CH102,3)&gt;0,1,0))</f>
        <v>0</v>
      </c>
    </row>
    <row r="47" spans="1:87" ht="13.5">
      <c r="A47" s="127" t="s">
        <v>178</v>
      </c>
      <c r="B47" s="130">
        <f>IF(ISERROR(COUNTIF('HL Plan'!B1:B102,4)), 0, IF(COUNTIF('HL Plan'!B1:B102,4)&gt;0,1,0))</f>
        <v>1</v>
      </c>
      <c r="C47" s="130">
        <f>IF(ISERROR(COUNTIF('HL Plan'!C1:C102,4)), 0, IF(COUNTIF('HL Plan'!C1:C102,4)&gt;0,1,0))</f>
        <v>0</v>
      </c>
      <c r="D47" s="130">
        <f>IF(ISERROR(COUNTIF('HL Plan'!D1:D102,4)), 0, IF(COUNTIF('HL Plan'!D1:D102,4)&gt;0,1,0))</f>
        <v>0</v>
      </c>
      <c r="E47" s="130">
        <f>IF(ISERROR(COUNTIF('HL Plan'!E1:E102,4)), 0, IF(COUNTIF('HL Plan'!E1:E102,4)&gt;0,1,0))</f>
        <v>0</v>
      </c>
      <c r="F47" s="130">
        <f>IF(ISERROR(COUNTIF('HL Plan'!F1:F102,4)), 0, IF(COUNTIF('HL Plan'!F1:F102,4)&gt;0,1,0))</f>
        <v>0</v>
      </c>
      <c r="G47" s="130">
        <f>IF(ISERROR(COUNTIF('HL Plan'!G1:G102,4)), 0, IF(COUNTIF('HL Plan'!G1:G102,4)&gt;0,1,0))</f>
        <v>0</v>
      </c>
      <c r="H47" s="130">
        <f>IF(ISERROR(COUNTIF('HL Plan'!H1:H102,4)), 0, IF(COUNTIF('HL Plan'!H1:H102,4)&gt;0,1,0))</f>
        <v>0</v>
      </c>
      <c r="I47" s="130">
        <f>IF(ISERROR(COUNTIF('HL Plan'!I1:I102,4)), 0, IF(COUNTIF('HL Plan'!I1:I102,4)&gt;0,1,0))</f>
        <v>0</v>
      </c>
      <c r="J47" s="130">
        <f>IF(ISERROR(COUNTIF('HL Plan'!J1:J102,4)), 0, IF(COUNTIF('HL Plan'!J1:J102,4)&gt;0,1,0))</f>
        <v>0</v>
      </c>
      <c r="K47" s="130">
        <f>IF(ISERROR(COUNTIF('HL Plan'!K1:K102,4)), 0, IF(COUNTIF('HL Plan'!K1:K102,4)&gt;0,1,0))</f>
        <v>0</v>
      </c>
      <c r="L47" s="130">
        <f>IF(ISERROR(COUNTIF('HL Plan'!L1:L102,4)), 0, IF(COUNTIF('HL Plan'!L1:L102,4)&gt;0,1,0))</f>
        <v>0</v>
      </c>
      <c r="M47" s="130">
        <f>IF(ISERROR(COUNTIF('HL Plan'!M1:M102,4)), 0, IF(COUNTIF('HL Plan'!M1:M102,4)&gt;0,1,0))</f>
        <v>0</v>
      </c>
      <c r="N47" s="130">
        <f>IF(ISERROR(COUNTIF('HL Plan'!N1:N102,4)), 0, IF(COUNTIF('HL Plan'!N1:N102,4)&gt;0,1,0))</f>
        <v>0</v>
      </c>
      <c r="O47" s="130">
        <f>IF(ISERROR(COUNTIF('HL Plan'!O1:O102,4)), 0, IF(COUNTIF('HL Plan'!O1:O102,4)&gt;0,1,0))</f>
        <v>0</v>
      </c>
      <c r="P47" s="130">
        <f>IF(ISERROR(COUNTIF('HL Plan'!P1:P102,4)), 0, IF(COUNTIF('HL Plan'!P1:P102,4)&gt;0,1,0))</f>
        <v>0</v>
      </c>
      <c r="Q47" s="130">
        <f>IF(ISERROR(COUNTIF('HL Plan'!Q1:Q102,4)), 0, IF(COUNTIF('HL Plan'!Q1:Q102,4)&gt;0,1,0))</f>
        <v>0</v>
      </c>
      <c r="R47" s="130">
        <f>IF(ISERROR(COUNTIF('HL Plan'!R1:R102,4)), 0, IF(COUNTIF('HL Plan'!R1:R102,4)&gt;0,1,0))</f>
        <v>0</v>
      </c>
      <c r="S47" s="130">
        <f>IF(ISERROR(COUNTIF('HL Plan'!S1:S102,4)), 0, IF(COUNTIF('HL Plan'!S1:S102,4)&gt;0,1,0))</f>
        <v>0</v>
      </c>
      <c r="T47" s="130">
        <f>IF(ISERROR(COUNTIF('HL Plan'!T1:T102,4)), 0, IF(COUNTIF('HL Plan'!T1:T102,4)&gt;0,1,0))</f>
        <v>0</v>
      </c>
      <c r="U47" s="130">
        <f>IF(ISERROR(COUNTIF('HL Plan'!U1:U102,4)), 0, IF(COUNTIF('HL Plan'!U1:U102,4)&gt;0,1,0))</f>
        <v>0</v>
      </c>
      <c r="V47" s="130">
        <f>IF(ISERROR(COUNTIF('HL Plan'!V1:V102,4)), 0, IF(COUNTIF('HL Plan'!V1:V102,4)&gt;0,1,0))</f>
        <v>0</v>
      </c>
      <c r="W47" s="130">
        <f>IF(ISERROR(COUNTIF('HL Plan'!W1:W102,4)), 0, IF(COUNTIF('HL Plan'!W1:W102,4)&gt;0,1,0))</f>
        <v>0</v>
      </c>
      <c r="X47" s="130">
        <f>IF(ISERROR(COUNTIF('HL Plan'!X1:X102,4)), 0, IF(COUNTIF('HL Plan'!X1:X102,4)&gt;0,1,0))</f>
        <v>0</v>
      </c>
      <c r="Y47" s="130">
        <f>IF(ISERROR(COUNTIF('HL Plan'!Y1:Y102,4)), 0, IF(COUNTIF('HL Plan'!Y1:Y102,4)&gt;0,1,0))</f>
        <v>0</v>
      </c>
      <c r="Z47" s="130">
        <f>IF(ISERROR(COUNTIF('HL Plan'!Z1:Z102,4)), 0, IF(COUNTIF('HL Plan'!Z1:Z102,4)&gt;0,1,0))</f>
        <v>0</v>
      </c>
      <c r="AA47" s="130">
        <f>IF(ISERROR(COUNTIF('HL Plan'!AA1:AA102,4)), 0, IF(COUNTIF('HL Plan'!AA1:AA102,4)&gt;0,1,0))</f>
        <v>0</v>
      </c>
      <c r="AB47" s="130">
        <f>IF(ISERROR(COUNTIF('HL Plan'!AB1:AB102,4)), 0, IF(COUNTIF('HL Plan'!AB1:AB102,4)&gt;0,1,0))</f>
        <v>0</v>
      </c>
      <c r="AC47" s="130">
        <f>IF(ISERROR(COUNTIF('HL Plan'!AC1:AC102,4)), 0, IF(COUNTIF('HL Plan'!AC1:AC102,4)&gt;0,1,0))</f>
        <v>0</v>
      </c>
      <c r="AD47" s="130">
        <f>IF(ISERROR(COUNTIF('HL Plan'!AD1:AD102,4)), 0, IF(COUNTIF('HL Plan'!AD1:AD102,4)&gt;0,1,0))</f>
        <v>0</v>
      </c>
      <c r="AE47" s="130">
        <f>IF(ISERROR(COUNTIF('HL Plan'!AE1:AE102,4)), 0, IF(COUNTIF('HL Plan'!AE1:AE102,4)&gt;0,1,0))</f>
        <v>0</v>
      </c>
      <c r="AF47" s="130">
        <f>IF(ISERROR(COUNTIF('HL Plan'!AF1:AF102,4)), 0, IF(COUNTIF('HL Plan'!AF1:AF102,4)&gt;0,1,0))</f>
        <v>0</v>
      </c>
      <c r="AG47" s="130">
        <f>IF(ISERROR(COUNTIF('HL Plan'!AG1:AG102,4)), 0, IF(COUNTIF('HL Plan'!AG1:AG102,4)&gt;0,1,0))</f>
        <v>0</v>
      </c>
      <c r="AH47" s="130">
        <f>IF(ISERROR(COUNTIF('HL Plan'!AH1:AH102,4)), 0, IF(COUNTIF('HL Plan'!AH1:AH102,4)&gt;0,1,0))</f>
        <v>0</v>
      </c>
      <c r="AI47" s="130">
        <f>IF(ISERROR(COUNTIF('HL Plan'!AI1:AI102,4)), 0, IF(COUNTIF('HL Plan'!AI1:AI102,4)&gt;0,1,0))</f>
        <v>0</v>
      </c>
      <c r="AJ47" s="130">
        <f>IF(ISERROR(COUNTIF('HL Plan'!AJ1:AJ102,4)), 0, IF(COUNTIF('HL Plan'!AJ1:AJ102,4)&gt;0,1,0))</f>
        <v>0</v>
      </c>
      <c r="AK47" s="130">
        <f>IF(ISERROR(COUNTIF('HL Plan'!AK1:AK102,4)), 0, IF(COUNTIF('HL Plan'!AK1:AK102,4)&gt;0,1,0))</f>
        <v>0</v>
      </c>
      <c r="AL47" s="130">
        <f>IF(ISERROR(COUNTIF('HL Plan'!AL1:AL102,4)), 0, IF(COUNTIF('HL Plan'!AL1:AL102,4)&gt;0,1,0))</f>
        <v>0</v>
      </c>
      <c r="AM47" s="130">
        <f>IF(ISERROR(COUNTIF('HL Plan'!AM1:AM102,4)), 0, IF(COUNTIF('HL Plan'!AM1:AM102,4)&gt;0,1,0))</f>
        <v>0</v>
      </c>
      <c r="AN47" s="130">
        <f>IF(ISERROR(COUNTIF('HL Plan'!AN1:AN102,4)), 0, IF(COUNTIF('HL Plan'!AN1:AN102,4)&gt;0,1,0))</f>
        <v>0</v>
      </c>
      <c r="AO47" s="130">
        <f>IF(ISERROR(COUNTIF('HL Plan'!AO1:AO102,4)), 0, IF(COUNTIF('HL Plan'!AO1:AO102,4)&gt;0,1,0))</f>
        <v>0</v>
      </c>
      <c r="AP47" s="130">
        <f>IF(ISERROR(COUNTIF('HL Plan'!AP1:AP102,4)), 0, IF(COUNTIF('HL Plan'!AP1:AP102,4)&gt;0,1,0))</f>
        <v>0</v>
      </c>
      <c r="AQ47" s="130">
        <f>IF(ISERROR(COUNTIF('HL Plan'!AQ1:AQ102,4)), 0, IF(COUNTIF('HL Plan'!AQ1:AQ102,4)&gt;0,1,0))</f>
        <v>0</v>
      </c>
      <c r="AR47" s="130">
        <f>IF(ISERROR(COUNTIF('HL Plan'!AR1:AR102,4)), 0, IF(COUNTIF('HL Plan'!AR1:AR102,4)&gt;0,1,0))</f>
        <v>0</v>
      </c>
      <c r="AS47" s="130">
        <f>IF(ISERROR(COUNTIF('HL Plan'!AS1:AS102,4)), 0, IF(COUNTIF('HL Plan'!AS1:AS102,4)&gt;0,1,0))</f>
        <v>0</v>
      </c>
      <c r="AT47" s="130">
        <f>IF(ISERROR(COUNTIF('HL Plan'!AT1:AT102,4)), 0, IF(COUNTIF('HL Plan'!AT1:AT102,4)&gt;0,1,0))</f>
        <v>0</v>
      </c>
      <c r="AU47" s="130">
        <f>IF(ISERROR(COUNTIF('HL Plan'!AU1:AU102,4)), 0, IF(COUNTIF('HL Plan'!AU1:AU102,4)&gt;0,1,0))</f>
        <v>0</v>
      </c>
      <c r="AV47" s="130">
        <f>IF(ISERROR(COUNTIF('HL Plan'!AV1:AV102,4)), 0, IF(COUNTIF('HL Plan'!AV1:AV102,4)&gt;0,1,0))</f>
        <v>0</v>
      </c>
      <c r="AW47" s="130">
        <f>IF(ISERROR(COUNTIF('HL Plan'!AW1:AW102,4)), 0, IF(COUNTIF('HL Plan'!AW1:AW102,4)&gt;0,1,0))</f>
        <v>0</v>
      </c>
      <c r="AX47" s="130">
        <f>IF(ISERROR(COUNTIF('HL Plan'!AX1:AX102,4)), 0, IF(COUNTIF('HL Plan'!AX1:AX102,4)&gt;0,1,0))</f>
        <v>0</v>
      </c>
      <c r="AY47" s="130">
        <f>IF(ISERROR(COUNTIF('HL Plan'!AY1:AY102,4)), 0, IF(COUNTIF('HL Plan'!AY1:AY102,4)&gt;0,1,0))</f>
        <v>0</v>
      </c>
      <c r="AZ47" s="130">
        <f>IF(ISERROR(COUNTIF('HL Plan'!AZ1:AZ102,4)), 0, IF(COUNTIF('HL Plan'!AZ1:AZ102,4)&gt;0,1,0))</f>
        <v>0</v>
      </c>
      <c r="BA47" s="130">
        <f>IF(ISERROR(COUNTIF('HL Plan'!BA1:BA102,4)), 0, IF(COUNTIF('HL Plan'!BA1:BA102,4)&gt;0,1,0))</f>
        <v>0</v>
      </c>
      <c r="BB47" s="130">
        <f>IF(ISERROR(COUNTIF('HL Plan'!BB1:BB102,4)), 0, IF(COUNTIF('HL Plan'!BB1:BB102,4)&gt;0,1,0))</f>
        <v>0</v>
      </c>
      <c r="BC47" s="130">
        <f>IF(ISERROR(COUNTIF('HL Plan'!BC1:BC102,4)), 0, IF(COUNTIF('HL Plan'!BC1:BC102,4)&gt;0,1,0))</f>
        <v>0</v>
      </c>
      <c r="BD47" s="130">
        <f>IF(ISERROR(COUNTIF('HL Plan'!BD1:BD102,4)), 0, IF(COUNTIF('HL Plan'!BD1:BD102,4)&gt;0,1,0))</f>
        <v>0</v>
      </c>
      <c r="BE47" s="130">
        <f>IF(ISERROR(COUNTIF('HL Plan'!BE1:BE102,4)), 0, IF(COUNTIF('HL Plan'!BE1:BE102,4)&gt;0,1,0))</f>
        <v>0</v>
      </c>
      <c r="BF47" s="130">
        <f>IF(ISERROR(COUNTIF('HL Plan'!BF1:BF102,4)), 0, IF(COUNTIF('HL Plan'!BF1:BF102,4)&gt;0,1,0))</f>
        <v>0</v>
      </c>
      <c r="BG47" s="130">
        <f>IF(ISERROR(COUNTIF('HL Plan'!BG1:BG102,4)), 0, IF(COUNTIF('HL Plan'!BG1:BG102,4)&gt;0,1,0))</f>
        <v>0</v>
      </c>
      <c r="BH47" s="130">
        <f>IF(ISERROR(COUNTIF('HL Plan'!BH1:BH102,4)), 0, IF(COUNTIF('HL Plan'!BH1:BH102,4)&gt;0,1,0))</f>
        <v>0</v>
      </c>
      <c r="BI47" s="130">
        <f>IF(ISERROR(COUNTIF('HL Plan'!BI1:BI102,4)), 0, IF(COUNTIF('HL Plan'!BI1:BI102,4)&gt;0,1,0))</f>
        <v>0</v>
      </c>
      <c r="BJ47" s="130">
        <f>IF(ISERROR(COUNTIF('HL Plan'!BJ1:BJ102,4)), 0, IF(COUNTIF('HL Plan'!BJ1:BJ102,4)&gt;0,1,0))</f>
        <v>0</v>
      </c>
      <c r="BK47" s="130">
        <f>IF(ISERROR(COUNTIF('HL Plan'!BK1:BK102,4)), 0, IF(COUNTIF('HL Plan'!BK1:BK102,4)&gt;0,1,0))</f>
        <v>0</v>
      </c>
      <c r="BL47" s="130">
        <f>IF(ISERROR(COUNTIF('HL Plan'!BL1:BL102,4)), 0, IF(COUNTIF('HL Plan'!BL1:BL102,4)&gt;0,1,0))</f>
        <v>0</v>
      </c>
      <c r="BM47" s="130">
        <f>IF(ISERROR(COUNTIF('HL Plan'!BM1:BM102,4)), 0, IF(COUNTIF('HL Plan'!BM1:BM102,4)&gt;0,1,0))</f>
        <v>0</v>
      </c>
      <c r="BN47" s="130">
        <f>IF(ISERROR(COUNTIF('HL Plan'!BN1:BN102,4)), 0, IF(COUNTIF('HL Plan'!BN1:BN102,4)&gt;0,1,0))</f>
        <v>0</v>
      </c>
      <c r="BO47" s="130">
        <f>IF(ISERROR(COUNTIF('HL Plan'!BO1:BO102,4)), 0, IF(COUNTIF('HL Plan'!BO1:BO102,4)&gt;0,1,0))</f>
        <v>0</v>
      </c>
      <c r="BP47" s="130">
        <f>IF(ISERROR(COUNTIF('HL Plan'!BO1:BO102,4)), 0, IF(COUNTIF('HL Plan'!BO1:BO102,4)&gt;0,1,0))</f>
        <v>0</v>
      </c>
      <c r="BQ47" s="130">
        <f>IF(ISERROR(COUNTIF('HL Plan'!BP1:BP102,4)), 0, IF(COUNTIF('HL Plan'!BP1:BP102,4)&gt;0,1,0))</f>
        <v>0</v>
      </c>
      <c r="BR47" s="130">
        <f>IF(ISERROR(COUNTIF('HL Plan'!BQ1:BQ102,4)), 0, IF(COUNTIF('HL Plan'!BQ1:BQ102,4)&gt;0,1,0))</f>
        <v>0</v>
      </c>
      <c r="BS47" s="130">
        <f>IF(ISERROR(COUNTIF('HL Plan'!BR1:BR102,4)), 0, IF(COUNTIF('HL Plan'!BR1:BR102,4)&gt;0,1,0))</f>
        <v>0</v>
      </c>
      <c r="BT47" s="130">
        <f>IF(ISERROR(COUNTIF('HL Plan'!BS1:BS102,4)), 0, IF(COUNTIF('HL Plan'!BS1:BS102,4)&gt;0,1,0))</f>
        <v>0</v>
      </c>
      <c r="BU47" s="130">
        <f>IF(ISERROR(COUNTIF('HL Plan'!BT1:BT102,4)), 0, IF(COUNTIF('HL Plan'!BT1:BT102,4)&gt;0,1,0))</f>
        <v>0</v>
      </c>
      <c r="BV47" s="130">
        <f>IF(ISERROR(COUNTIF('HL Plan'!BU1:BU102,4)), 0, IF(COUNTIF('HL Plan'!BU1:BU102,4)&gt;0,1,0))</f>
        <v>0</v>
      </c>
      <c r="BW47" s="130">
        <f>IF(ISERROR(COUNTIF('HL Plan'!BV1:BV102,4)), 0, IF(COUNTIF('HL Plan'!BV1:BV102,4)&gt;0,1,0))</f>
        <v>0</v>
      </c>
      <c r="BX47" s="130">
        <f>IF(ISERROR(COUNTIF('HL Plan'!BW1:BW102,4)), 0, IF(COUNTIF('HL Plan'!BW1:BW102,4)&gt;0,1,0))</f>
        <v>0</v>
      </c>
      <c r="BY47" s="130">
        <f>IF(ISERROR(COUNTIF('HL Plan'!BX1:BX102,4)), 0, IF(COUNTIF('HL Plan'!BX1:BX102,4)&gt;0,1,0))</f>
        <v>0</v>
      </c>
      <c r="BZ47" s="130">
        <f>IF(ISERROR(COUNTIF('HL Plan'!BY1:BY102,4)), 0, IF(COUNTIF('HL Plan'!BY1:BY102,4)&gt;0,1,0))</f>
        <v>0</v>
      </c>
      <c r="CA47" s="130">
        <f>IF(ISERROR(COUNTIF('HL Plan'!BZ1:BZ102,4)), 0, IF(COUNTIF('HL Plan'!BZ1:BZ102,4)&gt;0,1,0))</f>
        <v>0</v>
      </c>
      <c r="CB47" s="130">
        <f>IF(ISERROR(COUNTIF('HL Plan'!CA1:CA102,4)), 0, IF(COUNTIF('HL Plan'!CA1:CA102,4)&gt;0,1,0))</f>
        <v>0</v>
      </c>
      <c r="CC47" s="130">
        <f>IF(ISERROR(COUNTIF('HL Plan'!CB1:CB102,4)), 0, IF(COUNTIF('HL Plan'!CB1:CB102,4)&gt;0,1,0))</f>
        <v>0</v>
      </c>
      <c r="CD47" s="130">
        <f>IF(ISERROR(COUNTIF('HL Plan'!CC1:CC102,4)), 0, IF(COUNTIF('HL Plan'!CC1:CC102,4)&gt;0,1,0))</f>
        <v>0</v>
      </c>
      <c r="CE47" s="130">
        <f>IF(ISERROR(COUNTIF('HL Plan'!CD1:CD102,4)), 0, IF(COUNTIF('HL Plan'!CD1:CD102,4)&gt;0,1,0))</f>
        <v>0</v>
      </c>
      <c r="CF47" s="130">
        <f>IF(ISERROR(COUNTIF('HL Plan'!CE1:CE102,4)), 0, IF(COUNTIF('HL Plan'!CE1:CE102,4)&gt;0,1,0))</f>
        <v>0</v>
      </c>
      <c r="CG47" s="130">
        <f>IF(ISERROR(COUNTIF('HL Plan'!CF1:CF102,4)), 0, IF(COUNTIF('HL Plan'!CF1:CF102,4)&gt;0,1,0))</f>
        <v>0</v>
      </c>
      <c r="CH47" s="130">
        <f>IF(ISERROR(COUNTIF('HL Plan'!CG1:CG102,4)), 0, IF(COUNTIF('HL Plan'!CG1:CG102,4)&gt;0,1,0))</f>
        <v>0</v>
      </c>
      <c r="CI47" s="130">
        <f>IF(ISERROR(COUNTIF('HL Plan'!CH1:CH102,4)), 0, IF(COUNTIF('HL Plan'!CH1:CH102,4)&gt;0,1,0))</f>
        <v>0</v>
      </c>
    </row>
    <row r="48" spans="1:87" ht="13.5">
      <c r="A48" s="127" t="s">
        <v>64</v>
      </c>
      <c r="B48" s="130">
        <f>IF(ISERROR(COUNTIF('HL Plan'!B2:B103,5)), 0, IF(COUNTIF('HL Plan'!B2:B103,5)&gt;0,1,0))</f>
        <v>1</v>
      </c>
      <c r="C48" s="130">
        <f>IF(ISERROR(COUNTIF('HL Plan'!C2:C103,5)), 0, IF(COUNTIF('HL Plan'!C2:C103,5)&gt;0,1,0))</f>
        <v>0</v>
      </c>
      <c r="D48" s="130">
        <f>IF(ISERROR(COUNTIF('HL Plan'!D2:D103,5)), 0, IF(COUNTIF('HL Plan'!D2:D103,5)&gt;0,1,0))</f>
        <v>0</v>
      </c>
      <c r="E48" s="130">
        <f>IF(ISERROR(COUNTIF('HL Plan'!E2:E103,5)), 0, IF(COUNTIF('HL Plan'!E2:E103,5)&gt;0,1,0))</f>
        <v>0</v>
      </c>
      <c r="F48" s="130">
        <f>IF(ISERROR(COUNTIF('HL Plan'!F2:F103,5)), 0, IF(COUNTIF('HL Plan'!F2:F103,5)&gt;0,1,0))</f>
        <v>0</v>
      </c>
      <c r="G48" s="130">
        <f>IF(ISERROR(COUNTIF('HL Plan'!G2:G103,5)), 0, IF(COUNTIF('HL Plan'!G2:G103,5)&gt;0,1,0))</f>
        <v>0</v>
      </c>
      <c r="H48" s="130">
        <f>IF(ISERROR(COUNTIF('HL Plan'!H2:H103,5)), 0, IF(COUNTIF('HL Plan'!H2:H103,5)&gt;0,1,0))</f>
        <v>0</v>
      </c>
      <c r="I48" s="130">
        <f>IF(ISERROR(COUNTIF('HL Plan'!I2:I103,5)), 0, IF(COUNTIF('HL Plan'!I2:I103,5)&gt;0,1,0))</f>
        <v>0</v>
      </c>
      <c r="J48" s="130">
        <f>IF(ISERROR(COUNTIF('HL Plan'!J2:J103,5)), 0, IF(COUNTIF('HL Plan'!J2:J103,5)&gt;0,1,0))</f>
        <v>0</v>
      </c>
      <c r="K48" s="130">
        <f>IF(ISERROR(COUNTIF('HL Plan'!K2:K103,5)), 0, IF(COUNTIF('HL Plan'!K2:K103,5)&gt;0,1,0))</f>
        <v>0</v>
      </c>
      <c r="L48" s="130">
        <f>IF(ISERROR(COUNTIF('HL Plan'!L2:L103,5)), 0, IF(COUNTIF('HL Plan'!L2:L103,5)&gt;0,1,0))</f>
        <v>0</v>
      </c>
      <c r="M48" s="130">
        <f>IF(ISERROR(COUNTIF('HL Plan'!M2:M103,5)), 0, IF(COUNTIF('HL Plan'!M2:M103,5)&gt;0,1,0))</f>
        <v>0</v>
      </c>
      <c r="N48" s="130">
        <f>IF(ISERROR(COUNTIF('HL Plan'!N2:N103,5)), 0, IF(COUNTIF('HL Plan'!N2:N103,5)&gt;0,1,0))</f>
        <v>0</v>
      </c>
      <c r="O48" s="130">
        <f>IF(ISERROR(COUNTIF('HL Plan'!O2:O103,5)), 0, IF(COUNTIF('HL Plan'!O2:O103,5)&gt;0,1,0))</f>
        <v>0</v>
      </c>
      <c r="P48" s="130">
        <f>IF(ISERROR(COUNTIF('HL Plan'!P2:P103,5)), 0, IF(COUNTIF('HL Plan'!P2:P103,5)&gt;0,1,0))</f>
        <v>0</v>
      </c>
      <c r="Q48" s="130">
        <f>IF(ISERROR(COUNTIF('HL Plan'!Q2:Q103,5)), 0, IF(COUNTIF('HL Plan'!Q2:Q103,5)&gt;0,1,0))</f>
        <v>0</v>
      </c>
      <c r="R48" s="130">
        <f>IF(ISERROR(COUNTIF('HL Plan'!R2:R103,5)), 0, IF(COUNTIF('HL Plan'!R2:R103,5)&gt;0,1,0))</f>
        <v>0</v>
      </c>
      <c r="S48" s="130">
        <f>IF(ISERROR(COUNTIF('HL Plan'!S2:S103,5)), 0, IF(COUNTIF('HL Plan'!S2:S103,5)&gt;0,1,0))</f>
        <v>0</v>
      </c>
      <c r="T48" s="130">
        <f>IF(ISERROR(COUNTIF('HL Plan'!T2:T103,5)), 0, IF(COUNTIF('HL Plan'!T2:T103,5)&gt;0,1,0))</f>
        <v>0</v>
      </c>
      <c r="U48" s="130">
        <f>IF(ISERROR(COUNTIF('HL Plan'!U2:U103,5)), 0, IF(COUNTIF('HL Plan'!U2:U103,5)&gt;0,1,0))</f>
        <v>0</v>
      </c>
      <c r="V48" s="130">
        <f>IF(ISERROR(COUNTIF('HL Plan'!V2:V103,5)), 0, IF(COUNTIF('HL Plan'!V2:V103,5)&gt;0,1,0))</f>
        <v>0</v>
      </c>
      <c r="W48" s="130">
        <f>IF(ISERROR(COUNTIF('HL Plan'!W2:W103,5)), 0, IF(COUNTIF('HL Plan'!W2:W103,5)&gt;0,1,0))</f>
        <v>0</v>
      </c>
      <c r="X48" s="130">
        <f>IF(ISERROR(COUNTIF('HL Plan'!X2:X103,5)), 0, IF(COUNTIF('HL Plan'!X2:X103,5)&gt;0,1,0))</f>
        <v>0</v>
      </c>
      <c r="Y48" s="130">
        <f>IF(ISERROR(COUNTIF('HL Plan'!Y2:Y103,5)), 0, IF(COUNTIF('HL Plan'!Y2:Y103,5)&gt;0,1,0))</f>
        <v>0</v>
      </c>
      <c r="Z48" s="130">
        <f>IF(ISERROR(COUNTIF('HL Plan'!Z2:Z103,5)), 0, IF(COUNTIF('HL Plan'!Z2:Z103,5)&gt;0,1,0))</f>
        <v>0</v>
      </c>
      <c r="AA48" s="130">
        <f>IF(ISERROR(COUNTIF('HL Plan'!AA2:AA103,5)), 0, IF(COUNTIF('HL Plan'!AA2:AA103,5)&gt;0,1,0))</f>
        <v>0</v>
      </c>
      <c r="AB48" s="130">
        <f>IF(ISERROR(COUNTIF('HL Plan'!AB2:AB103,5)), 0, IF(COUNTIF('HL Plan'!AB2:AB103,5)&gt;0,1,0))</f>
        <v>0</v>
      </c>
      <c r="AC48" s="130">
        <f>IF(ISERROR(COUNTIF('HL Plan'!AC2:AC103,5)), 0, IF(COUNTIF('HL Plan'!AC2:AC103,5)&gt;0,1,0))</f>
        <v>0</v>
      </c>
      <c r="AD48" s="130">
        <f>IF(ISERROR(COUNTIF('HL Plan'!AD2:AD103,5)), 0, IF(COUNTIF('HL Plan'!AD2:AD103,5)&gt;0,1,0))</f>
        <v>0</v>
      </c>
      <c r="AE48" s="130">
        <f>IF(ISERROR(COUNTIF('HL Plan'!AE2:AE103,5)), 0, IF(COUNTIF('HL Plan'!AE2:AE103,5)&gt;0,1,0))</f>
        <v>0</v>
      </c>
      <c r="AF48" s="130">
        <f>IF(ISERROR(COUNTIF('HL Plan'!AF2:AF103,5)), 0, IF(COUNTIF('HL Plan'!AF2:AF103,5)&gt;0,1,0))</f>
        <v>0</v>
      </c>
      <c r="AG48" s="130">
        <f>IF(ISERROR(COUNTIF('HL Plan'!AG2:AG103,5)), 0, IF(COUNTIF('HL Plan'!AG2:AG103,5)&gt;0,1,0))</f>
        <v>0</v>
      </c>
      <c r="AH48" s="130">
        <f>IF(ISERROR(COUNTIF('HL Plan'!AH2:AH103,5)), 0, IF(COUNTIF('HL Plan'!AH2:AH103,5)&gt;0,1,0))</f>
        <v>0</v>
      </c>
      <c r="AI48" s="130">
        <f>IF(ISERROR(COUNTIF('HL Plan'!AI2:AI103,5)), 0, IF(COUNTIF('HL Plan'!AI2:AI103,5)&gt;0,1,0))</f>
        <v>0</v>
      </c>
      <c r="AJ48" s="130">
        <f>IF(ISERROR(COUNTIF('HL Plan'!AJ2:AJ103,5)), 0, IF(COUNTIF('HL Plan'!AJ2:AJ103,5)&gt;0,1,0))</f>
        <v>0</v>
      </c>
      <c r="AK48" s="130">
        <f>IF(ISERROR(COUNTIF('HL Plan'!AK2:AK103,5)), 0, IF(COUNTIF('HL Plan'!AK2:AK103,5)&gt;0,1,0))</f>
        <v>0</v>
      </c>
      <c r="AL48" s="130">
        <f>IF(ISERROR(COUNTIF('HL Plan'!AL2:AL103,5)), 0, IF(COUNTIF('HL Plan'!AL2:AL103,5)&gt;0,1,0))</f>
        <v>0</v>
      </c>
      <c r="AM48" s="130">
        <f>IF(ISERROR(COUNTIF('HL Plan'!AM2:AM103,5)), 0, IF(COUNTIF('HL Plan'!AM2:AM103,5)&gt;0,1,0))</f>
        <v>0</v>
      </c>
      <c r="AN48" s="130">
        <f>IF(ISERROR(COUNTIF('HL Plan'!AN2:AN103,5)), 0, IF(COUNTIF('HL Plan'!AN2:AN103,5)&gt;0,1,0))</f>
        <v>0</v>
      </c>
      <c r="AO48" s="130">
        <f>IF(ISERROR(COUNTIF('HL Plan'!AO2:AO103,5)), 0, IF(COUNTIF('HL Plan'!AO2:AO103,5)&gt;0,1,0))</f>
        <v>0</v>
      </c>
      <c r="AP48" s="130">
        <f>IF(ISERROR(COUNTIF('HL Plan'!AP2:AP103,5)), 0, IF(COUNTIF('HL Plan'!AP2:AP103,5)&gt;0,1,0))</f>
        <v>0</v>
      </c>
      <c r="AQ48" s="130">
        <f>IF(ISERROR(COUNTIF('HL Plan'!AQ2:AQ103,5)), 0, IF(COUNTIF('HL Plan'!AQ2:AQ103,5)&gt;0,1,0))</f>
        <v>0</v>
      </c>
      <c r="AR48" s="130">
        <f>IF(ISERROR(COUNTIF('HL Plan'!AR2:AR103,5)), 0, IF(COUNTIF('HL Plan'!AR2:AR103,5)&gt;0,1,0))</f>
        <v>0</v>
      </c>
      <c r="AS48" s="130">
        <f>IF(ISERROR(COUNTIF('HL Plan'!AS2:AS103,5)), 0, IF(COUNTIF('HL Plan'!AS2:AS103,5)&gt;0,1,0))</f>
        <v>0</v>
      </c>
      <c r="AT48" s="130">
        <f>IF(ISERROR(COUNTIF('HL Plan'!AT2:AT103,5)), 0, IF(COUNTIF('HL Plan'!AT2:AT103,5)&gt;0,1,0))</f>
        <v>0</v>
      </c>
      <c r="AU48" s="130">
        <f>IF(ISERROR(COUNTIF('HL Plan'!AU2:AU103,5)), 0, IF(COUNTIF('HL Plan'!AU2:AU103,5)&gt;0,1,0))</f>
        <v>0</v>
      </c>
      <c r="AV48" s="130">
        <f>IF(ISERROR(COUNTIF('HL Plan'!AV2:AV103,5)), 0, IF(COUNTIF('HL Plan'!AV2:AV103,5)&gt;0,1,0))</f>
        <v>0</v>
      </c>
      <c r="AW48" s="130">
        <f>IF(ISERROR(COUNTIF('HL Plan'!AW2:AW103,5)), 0, IF(COUNTIF('HL Plan'!AW2:AW103,5)&gt;0,1,0))</f>
        <v>0</v>
      </c>
      <c r="AX48" s="130">
        <f>IF(ISERROR(COUNTIF('HL Plan'!AX2:AX103,5)), 0, IF(COUNTIF('HL Plan'!AX2:AX103,5)&gt;0,1,0))</f>
        <v>0</v>
      </c>
      <c r="AY48" s="130">
        <f>IF(ISERROR(COUNTIF('HL Plan'!AY2:AY103,5)), 0, IF(COUNTIF('HL Plan'!AY2:AY103,5)&gt;0,1,0))</f>
        <v>0</v>
      </c>
      <c r="AZ48" s="130">
        <f>IF(ISERROR(COUNTIF('HL Plan'!AZ2:AZ103,5)), 0, IF(COUNTIF('HL Plan'!AZ2:AZ103,5)&gt;0,1,0))</f>
        <v>0</v>
      </c>
      <c r="BA48" s="130">
        <f>IF(ISERROR(COUNTIF('HL Plan'!BA2:BA103,5)), 0, IF(COUNTIF('HL Plan'!BA2:BA103,5)&gt;0,1,0))</f>
        <v>0</v>
      </c>
      <c r="BB48" s="130">
        <f>IF(ISERROR(COUNTIF('HL Plan'!BB2:BB103,5)), 0, IF(COUNTIF('HL Plan'!BB2:BB103,5)&gt;0,1,0))</f>
        <v>0</v>
      </c>
      <c r="BC48" s="130">
        <f>IF(ISERROR(COUNTIF('HL Plan'!BC2:BC103,5)), 0, IF(COUNTIF('HL Plan'!BC2:BC103,5)&gt;0,1,0))</f>
        <v>0</v>
      </c>
      <c r="BD48" s="130">
        <f>IF(ISERROR(COUNTIF('HL Plan'!BD2:BD103,5)), 0, IF(COUNTIF('HL Plan'!BD2:BD103,5)&gt;0,1,0))</f>
        <v>0</v>
      </c>
      <c r="BE48" s="130">
        <f>IF(ISERROR(COUNTIF('HL Plan'!BE2:BE103,5)), 0, IF(COUNTIF('HL Plan'!BE2:BE103,5)&gt;0,1,0))</f>
        <v>0</v>
      </c>
      <c r="BF48" s="130">
        <f>IF(ISERROR(COUNTIF('HL Plan'!BF2:BF103,5)), 0, IF(COUNTIF('HL Plan'!BF2:BF103,5)&gt;0,1,0))</f>
        <v>0</v>
      </c>
      <c r="BG48" s="130">
        <f>IF(ISERROR(COUNTIF('HL Plan'!BG2:BG103,5)), 0, IF(COUNTIF('HL Plan'!BG2:BG103,5)&gt;0,1,0))</f>
        <v>0</v>
      </c>
      <c r="BH48" s="130">
        <f>IF(ISERROR(COUNTIF('HL Plan'!BH2:BH103,5)), 0, IF(COUNTIF('HL Plan'!BH2:BH103,5)&gt;0,1,0))</f>
        <v>0</v>
      </c>
      <c r="BI48" s="130">
        <f>IF(ISERROR(COUNTIF('HL Plan'!BI2:BI103,5)), 0, IF(COUNTIF('HL Plan'!BI2:BI103,5)&gt;0,1,0))</f>
        <v>0</v>
      </c>
      <c r="BJ48" s="130">
        <f>IF(ISERROR(COUNTIF('HL Plan'!BJ2:BJ103,5)), 0, IF(COUNTIF('HL Plan'!BJ2:BJ103,5)&gt;0,1,0))</f>
        <v>0</v>
      </c>
      <c r="BK48" s="130">
        <f>IF(ISERROR(COUNTIF('HL Plan'!BK2:BK103,5)), 0, IF(COUNTIF('HL Plan'!BK2:BK103,5)&gt;0,1,0))</f>
        <v>0</v>
      </c>
      <c r="BL48" s="130">
        <f>IF(ISERROR(COUNTIF('HL Plan'!BL2:BL103,5)), 0, IF(COUNTIF('HL Plan'!BL2:BL103,5)&gt;0,1,0))</f>
        <v>0</v>
      </c>
      <c r="BM48" s="130">
        <f>IF(ISERROR(COUNTIF('HL Plan'!BM2:BM103,5)), 0, IF(COUNTIF('HL Plan'!BM2:BM103,5)&gt;0,1,0))</f>
        <v>0</v>
      </c>
      <c r="BN48" s="130">
        <f>IF(ISERROR(COUNTIF('HL Plan'!BN2:BN103,5)), 0, IF(COUNTIF('HL Plan'!BN2:BN103,5)&gt;0,1,0))</f>
        <v>0</v>
      </c>
      <c r="BO48" s="130">
        <f>IF(ISERROR(COUNTIF('HL Plan'!BO2:BO103,5)), 0, IF(COUNTIF('HL Plan'!BO2:BO103,5)&gt;0,1,0))</f>
        <v>0</v>
      </c>
      <c r="BP48" s="130">
        <f>IF(ISERROR(COUNTIF('HL Plan'!BP2:BP103,5)), 0, IF(COUNTIF('HL Plan'!BP2:BP103,5)&gt;0,1,0))</f>
        <v>0</v>
      </c>
      <c r="BQ48" s="130">
        <f>IF(ISERROR(COUNTIF('HL Plan'!BQ2:BQ103,5)), 0, IF(COUNTIF('HL Plan'!BQ2:BQ103,5)&gt;0,1,0))</f>
        <v>0</v>
      </c>
      <c r="BR48" s="130">
        <f>IF(ISERROR(COUNTIF('HL Plan'!BR2:BR103,5)), 0, IF(COUNTIF('HL Plan'!BR2:BR103,5)&gt;0,1,0))</f>
        <v>0</v>
      </c>
      <c r="BS48" s="130">
        <f>IF(ISERROR(COUNTIF('HL Plan'!BS2:BS103,5)), 0, IF(COUNTIF('HL Plan'!BS2:BS103,5)&gt;0,1,0))</f>
        <v>0</v>
      </c>
      <c r="BT48" s="130">
        <f>IF(ISERROR(COUNTIF('HL Plan'!BT2:BT103,5)), 0, IF(COUNTIF('HL Plan'!BT2:BT103,5)&gt;0,1,0))</f>
        <v>0</v>
      </c>
      <c r="BU48" s="130">
        <f>IF(ISERROR(COUNTIF('HL Plan'!BU2:BU103,5)), 0, IF(COUNTIF('HL Plan'!BU2:BU103,5)&gt;0,1,0))</f>
        <v>0</v>
      </c>
      <c r="BV48" s="130">
        <f>IF(ISERROR(COUNTIF('HL Plan'!BV2:BV103,5)), 0, IF(COUNTIF('HL Plan'!BV2:BV103,5)&gt;0,1,0))</f>
        <v>0</v>
      </c>
      <c r="BW48" s="130">
        <f>IF(ISERROR(COUNTIF('HL Plan'!BW2:BW103,5)), 0, IF(COUNTIF('HL Plan'!BW2:BW103,5)&gt;0,1,0))</f>
        <v>0</v>
      </c>
      <c r="BX48" s="130">
        <f>IF(ISERROR(COUNTIF('HL Plan'!BX2:BX103,5)), 0, IF(COUNTIF('HL Plan'!BX2:BX103,5)&gt;0,1,0))</f>
        <v>0</v>
      </c>
      <c r="BY48" s="130">
        <f>IF(ISERROR(COUNTIF('HL Plan'!BY2:BY103,5)), 0, IF(COUNTIF('HL Plan'!BY2:BY103,5)&gt;0,1,0))</f>
        <v>0</v>
      </c>
      <c r="BZ48" s="130">
        <f>IF(ISERROR(COUNTIF('HL Plan'!BZ2:BZ103,5)), 0, IF(COUNTIF('HL Plan'!BZ2:BZ103,5)&gt;0,1,0))</f>
        <v>0</v>
      </c>
      <c r="CA48" s="130">
        <f>IF(ISERROR(COUNTIF('HL Plan'!CA2:CA103,5)), 0, IF(COUNTIF('HL Plan'!CA2:CA103,5)&gt;0,1,0))</f>
        <v>0</v>
      </c>
      <c r="CB48" s="130">
        <f>IF(ISERROR(COUNTIF('HL Plan'!CB2:CB103,5)), 0, IF(COUNTIF('HL Plan'!CB2:CB103,5)&gt;0,1,0))</f>
        <v>0</v>
      </c>
      <c r="CC48" s="130">
        <f>IF(ISERROR(COUNTIF('HL Plan'!CC2:CC103,5)), 0, IF(COUNTIF('HL Plan'!CC2:CC103,5)&gt;0,1,0))</f>
        <v>0</v>
      </c>
      <c r="CD48" s="130">
        <f>IF(ISERROR(COUNTIF('HL Plan'!CD2:CD103,5)), 0, IF(COUNTIF('HL Plan'!CD2:CD103,5)&gt;0,1,0))</f>
        <v>0</v>
      </c>
      <c r="CE48" s="130">
        <f>IF(ISERROR(COUNTIF('HL Plan'!CE2:CE103,5)), 0, IF(COUNTIF('HL Plan'!CE2:CE103,5)&gt;0,1,0))</f>
        <v>0</v>
      </c>
      <c r="CF48" s="130">
        <f>IF(ISERROR(COUNTIF('HL Plan'!CF2:CF103,5)), 0, IF(COUNTIF('HL Plan'!CF2:CF103,5)&gt;0,1,0))</f>
        <v>0</v>
      </c>
      <c r="CG48" s="130">
        <f>IF(ISERROR(COUNTIF('HL Plan'!CG2:CG103,5)), 0, IF(COUNTIF('HL Plan'!CG2:CG103,5)&gt;0,1,0))</f>
        <v>0</v>
      </c>
      <c r="CH48" s="130">
        <f>IF(ISERROR(COUNTIF('HL Plan'!CH2:CH103,5)), 0, IF(COUNTIF('HL Plan'!CH2:CH103,5)&gt;0,1,0))</f>
        <v>0</v>
      </c>
      <c r="CI48" s="130">
        <f>IF(ISERROR(COUNTIF('HL Plan'!CI2:CI103,5)), 0, IF(COUNTIF('HL Plan'!CI2:CI103,5)&gt;0,1,0))</f>
        <v>0</v>
      </c>
    </row>
    <row r="49" spans="8:8" ht="12.75">
      <c r="H49" s="2"/>
    </row>
    <row r="50" spans="8:8" ht="12.75">
      <c r="H50" s="2"/>
    </row>
    <row r="51" spans="8:8" ht="12.75">
      <c r="H51" s="2"/>
    </row>
    <row r="52" spans="8:8" ht="12.75">
      <c r="H52" s="2"/>
    </row>
    <row r="53" spans="8:8" ht="12.75">
      <c r="H53" s="2"/>
    </row>
    <row r="54" spans="8:8" ht="12.75">
      <c r="H54" s="2"/>
    </row>
    <row r="55" spans="8:8" ht="12.75">
      <c r="H55" s="2"/>
    </row>
    <row r="56" spans="8:8" ht="12.75">
      <c r="H56" s="2"/>
    </row>
    <row r="57" spans="8:8" ht="12.75">
      <c r="H57" s="2"/>
    </row>
    <row r="58" spans="8:8" ht="12.75">
      <c r="H58" s="2"/>
    </row>
    <row r="59" spans="8:8" ht="12.75">
      <c r="H59" s="2"/>
    </row>
    <row r="60" spans="8:8" ht="12.75">
      <c r="H60" s="2"/>
    </row>
    <row r="61" spans="8:8" ht="12.75">
      <c r="H61" s="2"/>
    </row>
    <row r="62" spans="8:8" ht="12.75">
      <c r="H62" s="2"/>
    </row>
    <row r="63" spans="8:8" ht="12.75">
      <c r="H63" s="2"/>
    </row>
    <row r="64" spans="8:8" ht="12.75">
      <c r="H64" s="2"/>
    </row>
    <row r="65" spans="8:8" ht="12.75">
      <c r="H65" s="2"/>
    </row>
    <row r="66" spans="8:8" ht="12.75">
      <c r="H66" s="2"/>
    </row>
    <row r="67" spans="8:8" ht="12.75">
      <c r="H67" s="2"/>
    </row>
    <row r="68" spans="8:8" ht="12.75">
      <c r="H68" s="2"/>
    </row>
    <row r="69" spans="8:8" ht="12.75">
      <c r="H69" s="2"/>
    </row>
    <row r="70" spans="8:8" ht="12.75">
      <c r="H70" s="2"/>
    </row>
    <row r="71" spans="8:8" ht="12.75">
      <c r="H71" s="2"/>
    </row>
    <row r="72" spans="8:8" ht="12.75">
      <c r="H72" s="2"/>
    </row>
    <row r="73" spans="8:8" ht="12.75">
      <c r="H73" s="2"/>
    </row>
    <row r="74" spans="8:8" ht="12.75">
      <c r="H74" s="2"/>
    </row>
    <row r="75" spans="8:8" ht="12.75">
      <c r="H75" s="2"/>
    </row>
    <row r="76" spans="8:8" ht="12.75">
      <c r="H76" s="2"/>
    </row>
    <row r="77" spans="8:8" ht="12.75">
      <c r="H77" s="2"/>
    </row>
    <row r="78" spans="8:8" ht="12.75">
      <c r="H78" s="2"/>
    </row>
    <row r="79" spans="8:8" ht="12.75">
      <c r="H79" s="2"/>
    </row>
    <row r="80" spans="8:8" ht="12.75">
      <c r="H80" s="2"/>
    </row>
    <row r="81" spans="8:8" ht="12.75">
      <c r="H81" s="2"/>
    </row>
    <row r="82" spans="8:8" ht="12.75">
      <c r="H82" s="2"/>
    </row>
    <row r="83" spans="8:8" ht="12.75">
      <c r="H83" s="2"/>
    </row>
    <row r="84" spans="8:8" ht="12.75">
      <c r="H84" s="2"/>
    </row>
    <row r="85" spans="8:8" ht="12.75">
      <c r="H85" s="2"/>
    </row>
    <row r="86" spans="8:8" ht="12.75">
      <c r="H86" s="2"/>
    </row>
    <row r="87" spans="8:8" ht="12.75">
      <c r="H87" s="2"/>
    </row>
    <row r="88" spans="8:8" ht="12.75">
      <c r="H88" s="2"/>
    </row>
    <row r="89" spans="8:8" ht="12.75">
      <c r="H89" s="2"/>
    </row>
    <row r="90" spans="8:8" ht="12.75">
      <c r="H90" s="2"/>
    </row>
    <row r="91" spans="8:8" ht="12.75">
      <c r="H91" s="2"/>
    </row>
    <row r="92" spans="8:8" ht="12.75">
      <c r="H92" s="2"/>
    </row>
    <row r="93" spans="8:8" ht="12.75">
      <c r="H93" s="2"/>
    </row>
    <row r="94" spans="8:8" ht="12.75">
      <c r="H94" s="2"/>
    </row>
    <row r="95" spans="8:8" ht="12.75">
      <c r="H95" s="2"/>
    </row>
    <row r="96" spans="8:8" ht="12.75">
      <c r="H96" s="2"/>
    </row>
    <row r="97" spans="8:8" ht="12.75">
      <c r="H97" s="2"/>
    </row>
    <row r="98" spans="8:8" ht="12.75">
      <c r="H98" s="2"/>
    </row>
    <row r="99" spans="8:8" ht="12.75">
      <c r="H99" s="2"/>
    </row>
    <row r="100" spans="8:8" ht="12.75">
      <c r="H100" s="2"/>
    </row>
    <row r="101" spans="8:8" ht="12.75">
      <c r="H101" s="2"/>
    </row>
    <row r="102" spans="8:8" ht="12.75">
      <c r="H102" s="2"/>
    </row>
    <row r="103" spans="8:8" ht="12.75">
      <c r="H103" s="2"/>
    </row>
    <row r="104" spans="8:8" ht="12.75">
      <c r="H104" s="2"/>
    </row>
    <row r="105" spans="8:8" ht="12.75">
      <c r="H105" s="2"/>
    </row>
    <row r="106" spans="8:8" ht="12.75">
      <c r="H106" s="2"/>
    </row>
    <row r="107" spans="8:8" ht="12.75">
      <c r="H107" s="2"/>
    </row>
    <row r="108" spans="8:8" ht="12.75">
      <c r="H108" s="2"/>
    </row>
    <row r="109" spans="8:8" ht="12.75">
      <c r="H109" s="2"/>
    </row>
    <row r="110" spans="8:8" ht="12.75">
      <c r="H110" s="2"/>
    </row>
    <row r="111" spans="8:8" ht="12.75">
      <c r="H111" s="2"/>
    </row>
    <row r="112" spans="8:8" ht="12.75">
      <c r="H112" s="2"/>
    </row>
    <row r="113" spans="8:8" ht="12.75">
      <c r="H113" s="2"/>
    </row>
    <row r="114" spans="8:8" ht="12.75">
      <c r="H114" s="2"/>
    </row>
    <row r="115" spans="8:8" ht="12.75">
      <c r="H115" s="2"/>
    </row>
    <row r="116" spans="8:8" ht="12.75">
      <c r="H116" s="2"/>
    </row>
    <row r="117" spans="8:8" ht="12.75">
      <c r="H117" s="2"/>
    </row>
    <row r="118" spans="8:8" ht="12.75">
      <c r="H118" s="2"/>
    </row>
    <row r="119" spans="8:8" ht="12.75">
      <c r="H119" s="2"/>
    </row>
    <row r="120" spans="8:8" ht="12.75">
      <c r="H120" s="2"/>
    </row>
    <row r="121" spans="8:8" ht="12.75">
      <c r="H121" s="2"/>
    </row>
    <row r="122" spans="8:8" ht="12.75">
      <c r="H122" s="2"/>
    </row>
    <row r="123" spans="8:8" ht="12.75">
      <c r="H123" s="2"/>
    </row>
    <row r="124" spans="8:8" ht="12.75">
      <c r="H124" s="2"/>
    </row>
    <row r="125" spans="8:8" ht="12.75">
      <c r="H125" s="2"/>
    </row>
    <row r="126" spans="8:8" ht="12.75">
      <c r="H126" s="2"/>
    </row>
    <row r="127" spans="8:8" ht="12.75">
      <c r="H127" s="2"/>
    </row>
    <row r="128" spans="8:8" ht="12.75">
      <c r="H128" s="2"/>
    </row>
    <row r="129" spans="8:8" ht="12.75">
      <c r="H129" s="2"/>
    </row>
    <row r="130" spans="8:8" ht="12.75">
      <c r="H130" s="2"/>
    </row>
    <row r="131" spans="8:8" ht="12.75">
      <c r="H131" s="2"/>
    </row>
    <row r="132" spans="8:8" ht="12.75">
      <c r="H132" s="2"/>
    </row>
    <row r="133" spans="8:8" ht="12.75">
      <c r="H133" s="2"/>
    </row>
    <row r="134" spans="8:8" ht="12.75">
      <c r="H134" s="2"/>
    </row>
    <row r="135" spans="8:8" ht="12.75">
      <c r="H135" s="2"/>
    </row>
    <row r="136" spans="8:8" ht="12.75">
      <c r="H136" s="2"/>
    </row>
    <row r="137" spans="8:8" ht="12.75">
      <c r="H137" s="2"/>
    </row>
    <row r="138" spans="8:8" ht="12.75">
      <c r="H138" s="2"/>
    </row>
    <row r="139" spans="8:8" ht="12.75">
      <c r="H139" s="2"/>
    </row>
    <row r="140" spans="8:8" ht="12.75">
      <c r="H140" s="2"/>
    </row>
    <row r="141" spans="8:8" ht="12.75">
      <c r="H141" s="2"/>
    </row>
    <row r="142" spans="8:8" ht="12.75">
      <c r="H142" s="2"/>
    </row>
    <row r="143" spans="8:8" ht="12.75">
      <c r="H143" s="2"/>
    </row>
    <row r="144" spans="8:8" ht="12.75">
      <c r="H144" s="2"/>
    </row>
    <row r="145" spans="8:8" ht="12.75">
      <c r="H145" s="2"/>
    </row>
    <row r="146" spans="8:8" ht="12.75">
      <c r="H146" s="2"/>
    </row>
    <row r="147" spans="8:8" ht="12.75">
      <c r="H147" s="2"/>
    </row>
    <row r="148" spans="8:8" ht="12.75">
      <c r="H148" s="2"/>
    </row>
    <row r="149" spans="8:8" ht="12.75">
      <c r="H149" s="2"/>
    </row>
    <row r="150" spans="8:8" ht="12.75">
      <c r="H150" s="2"/>
    </row>
    <row r="151" spans="8:8" ht="12.75">
      <c r="H151" s="2"/>
    </row>
    <row r="152" spans="8:8" ht="12.75">
      <c r="H152" s="2"/>
    </row>
    <row r="153" spans="8:8" ht="12.75">
      <c r="H153" s="2"/>
    </row>
    <row r="154" spans="8:8" ht="12.75">
      <c r="H154" s="2"/>
    </row>
    <row r="155" spans="8:8" ht="12.75">
      <c r="H155" s="2"/>
    </row>
    <row r="156" spans="8:8" ht="12.75">
      <c r="H156" s="2"/>
    </row>
    <row r="157" spans="8:8" ht="12.75">
      <c r="H157" s="2"/>
    </row>
    <row r="158" spans="8:8" ht="12.75">
      <c r="H158" s="2"/>
    </row>
    <row r="159" spans="8:8" ht="12.75">
      <c r="H159" s="2"/>
    </row>
    <row r="160" spans="8:8" ht="12.75">
      <c r="H160" s="2"/>
    </row>
    <row r="161" spans="8:8" ht="12.75">
      <c r="H161" s="2"/>
    </row>
    <row r="162" spans="8:8" ht="12.75">
      <c r="H162" s="2"/>
    </row>
    <row r="163" spans="8:8" ht="12.75">
      <c r="H163" s="2"/>
    </row>
    <row r="164" spans="8:8" ht="12.75">
      <c r="H164" s="2"/>
    </row>
    <row r="165" spans="8:8" ht="12.75">
      <c r="H165" s="2"/>
    </row>
    <row r="166" spans="8:8" ht="12.75">
      <c r="H166" s="2"/>
    </row>
    <row r="167" spans="8:8" ht="12.75">
      <c r="H167" s="2"/>
    </row>
    <row r="168" spans="8:8" ht="12.75">
      <c r="H168" s="2"/>
    </row>
    <row r="169" spans="8:8" ht="12.75">
      <c r="H169" s="2"/>
    </row>
    <row r="170" spans="8:8" ht="12.75">
      <c r="H170" s="2"/>
    </row>
    <row r="171" spans="8:8" ht="12.75">
      <c r="H171" s="2"/>
    </row>
    <row r="172" spans="8:8" ht="12.75">
      <c r="H172" s="2"/>
    </row>
    <row r="173" spans="8:8" ht="12.75">
      <c r="H173" s="2"/>
    </row>
    <row r="174" spans="8:8" ht="12.75">
      <c r="H174" s="2"/>
    </row>
    <row r="175" spans="8:8" ht="12.75">
      <c r="H175" s="2"/>
    </row>
    <row r="176" spans="8:8" ht="12.75">
      <c r="H176" s="2"/>
    </row>
    <row r="177" spans="8:8" ht="12.75">
      <c r="H177" s="2"/>
    </row>
    <row r="178" spans="8:8" ht="12.75">
      <c r="H178" s="2"/>
    </row>
    <row r="179" spans="8:8" ht="12.75">
      <c r="H179" s="2"/>
    </row>
    <row r="180" spans="8:8" ht="12.75">
      <c r="H180" s="2"/>
    </row>
    <row r="181" spans="8:8" ht="12.75">
      <c r="H181" s="2"/>
    </row>
    <row r="182" spans="8:8" ht="12.75">
      <c r="H182" s="2"/>
    </row>
    <row r="183" spans="8:8" ht="12.75">
      <c r="H183" s="2"/>
    </row>
    <row r="184" spans="8:8" ht="12.75">
      <c r="H184" s="2"/>
    </row>
    <row r="185" spans="8:8" ht="12.75">
      <c r="H185" s="2"/>
    </row>
    <row r="186" spans="8:8" ht="12.75">
      <c r="H186" s="2"/>
    </row>
    <row r="187" spans="8:8" ht="12.75">
      <c r="H187" s="2"/>
    </row>
    <row r="188" spans="8:8" ht="12.75">
      <c r="H188" s="2"/>
    </row>
    <row r="189" spans="8:8" ht="12.75">
      <c r="H189" s="2"/>
    </row>
    <row r="190" spans="8:8" ht="12.75">
      <c r="H190" s="2"/>
    </row>
    <row r="191" spans="8:8" ht="12.75">
      <c r="H191" s="2"/>
    </row>
    <row r="192" spans="8:8" ht="12.75">
      <c r="H192" s="2"/>
    </row>
    <row r="193" spans="8:8" ht="12.75">
      <c r="H193" s="2"/>
    </row>
    <row r="194" spans="8:8" ht="12.75">
      <c r="H194" s="2"/>
    </row>
    <row r="195" spans="8:8" ht="12.75">
      <c r="H195" s="2"/>
    </row>
    <row r="196" spans="8:8" ht="12.75">
      <c r="H196" s="2"/>
    </row>
    <row r="197" spans="8:8" ht="12.75">
      <c r="H197" s="2"/>
    </row>
    <row r="198" spans="8:8" ht="12.75">
      <c r="H198" s="2"/>
    </row>
    <row r="199" spans="8:8" ht="12.75">
      <c r="H199" s="2"/>
    </row>
    <row r="200" spans="8:8" ht="12.75">
      <c r="H200" s="2"/>
    </row>
    <row r="201" spans="8:8" ht="12.75">
      <c r="H201" s="2"/>
    </row>
    <row r="202" spans="8:8" ht="12.75">
      <c r="H202" s="2"/>
    </row>
    <row r="203" spans="8:8" ht="12.75">
      <c r="H203" s="2"/>
    </row>
    <row r="204" spans="8:8" ht="12.75">
      <c r="H204" s="2"/>
    </row>
    <row r="205" spans="8:8" ht="12.75">
      <c r="H205" s="2"/>
    </row>
    <row r="206" spans="8:8" ht="12.75">
      <c r="H206" s="2"/>
    </row>
    <row r="207" spans="8:8" ht="12.75">
      <c r="H207" s="2"/>
    </row>
    <row r="208" spans="8:8" ht="12.75">
      <c r="H208" s="2"/>
    </row>
    <row r="209" spans="8:8" ht="12.75">
      <c r="H209" s="2"/>
    </row>
    <row r="210" spans="8:8" ht="12.75">
      <c r="H210" s="2"/>
    </row>
    <row r="211" spans="8:8" ht="12.75">
      <c r="H211" s="2"/>
    </row>
    <row r="212" spans="8:8" ht="12.75">
      <c r="H212" s="2"/>
    </row>
    <row r="213" spans="8:8" ht="12.75">
      <c r="H213" s="2"/>
    </row>
    <row r="214" spans="8:8" ht="12.75">
      <c r="H214" s="2"/>
    </row>
    <row r="215" spans="8:8" ht="12.75">
      <c r="H215" s="2"/>
    </row>
    <row r="216" spans="8:8" ht="12.75">
      <c r="H216" s="2"/>
    </row>
    <row r="217" spans="8:8" ht="12.75">
      <c r="H217" s="2"/>
    </row>
    <row r="218" spans="8:8" ht="12.75">
      <c r="H218" s="2"/>
    </row>
    <row r="219" spans="8:8" ht="12.75">
      <c r="H219" s="2"/>
    </row>
    <row r="220" spans="8:8" ht="12.75">
      <c r="H220" s="2"/>
    </row>
    <row r="221" spans="8:8" ht="12.75">
      <c r="H221" s="2"/>
    </row>
    <row r="222" spans="8:8" ht="12.75">
      <c r="H222" s="2"/>
    </row>
    <row r="223" spans="8:8" ht="12.75">
      <c r="H223" s="2"/>
    </row>
    <row r="224" spans="8:8" ht="12.75">
      <c r="H224" s="2"/>
    </row>
    <row r="225" spans="8:8" ht="12.75">
      <c r="H225" s="2"/>
    </row>
    <row r="226" spans="8:8" ht="12.75">
      <c r="H226" s="2"/>
    </row>
    <row r="227" spans="8:8" ht="12.75">
      <c r="H227" s="2"/>
    </row>
    <row r="228" spans="8:8" ht="12.75">
      <c r="H228" s="2"/>
    </row>
    <row r="229" spans="8:8" ht="12.75">
      <c r="H229" s="2"/>
    </row>
    <row r="230" spans="8:8" ht="12.75">
      <c r="H230" s="2"/>
    </row>
    <row r="231" spans="8:8" ht="12.75">
      <c r="H231" s="2"/>
    </row>
    <row r="232" spans="8:8" ht="12.75">
      <c r="H232" s="2"/>
    </row>
    <row r="233" spans="8:8" ht="12.75">
      <c r="H233" s="2"/>
    </row>
    <row r="234" spans="8:8" ht="12.75">
      <c r="H234" s="2"/>
    </row>
    <row r="235" spans="8:8" ht="12.75">
      <c r="H235" s="2"/>
    </row>
    <row r="236" spans="8:8" ht="12.75">
      <c r="H236" s="2"/>
    </row>
    <row r="237" spans="8:8" ht="12.75">
      <c r="H237" s="2"/>
    </row>
    <row r="238" spans="8:8" ht="12.75">
      <c r="H238" s="2"/>
    </row>
    <row r="239" spans="8:8" ht="12.75">
      <c r="H239" s="2"/>
    </row>
    <row r="240" spans="8:8" ht="12.75">
      <c r="H240" s="2"/>
    </row>
    <row r="241" spans="8:8" ht="12.75">
      <c r="H241" s="2"/>
    </row>
    <row r="242" spans="8:8" ht="12.75">
      <c r="H242" s="2"/>
    </row>
    <row r="243" spans="8:8" ht="12.75">
      <c r="H243" s="2"/>
    </row>
    <row r="244" spans="8:8" ht="12.75">
      <c r="H244" s="2"/>
    </row>
    <row r="245" spans="8:8" ht="12.75">
      <c r="H245" s="2"/>
    </row>
    <row r="246" spans="8:8" ht="12.75">
      <c r="H246" s="2"/>
    </row>
    <row r="247" spans="8:8" ht="12.75">
      <c r="H247" s="2"/>
    </row>
    <row r="248" spans="8:8" ht="12.75">
      <c r="H248" s="2"/>
    </row>
    <row r="249" spans="8:8" ht="12.75">
      <c r="H249" s="2"/>
    </row>
    <row r="250" spans="8:8" ht="12.75">
      <c r="H250" s="2"/>
    </row>
    <row r="251" spans="8:8" ht="12.75">
      <c r="H251" s="2"/>
    </row>
    <row r="252" spans="8:8" ht="12.75">
      <c r="H252" s="2"/>
    </row>
    <row r="253" spans="8:8" ht="12.75">
      <c r="H253" s="2"/>
    </row>
    <row r="254" spans="8:8" ht="12.75">
      <c r="H254" s="2"/>
    </row>
    <row r="255" spans="8:8" ht="12.75">
      <c r="H255" s="2"/>
    </row>
    <row r="256" spans="8:8" ht="12.75">
      <c r="H256" s="2"/>
    </row>
    <row r="257" spans="8:8" ht="12.75">
      <c r="H257" s="2"/>
    </row>
    <row r="258" spans="8:8" ht="12.75">
      <c r="H258" s="2"/>
    </row>
    <row r="259" spans="8:8" ht="12.75">
      <c r="H259" s="2"/>
    </row>
    <row r="260" spans="8:8" ht="12.75">
      <c r="H260" s="2"/>
    </row>
    <row r="261" spans="8:8" ht="12.75">
      <c r="H261" s="2"/>
    </row>
    <row r="262" spans="8:8" ht="12.75">
      <c r="H262" s="2"/>
    </row>
    <row r="263" spans="8:8" ht="12.75">
      <c r="H263" s="2"/>
    </row>
    <row r="264" spans="8:8" ht="12.75">
      <c r="H264" s="2"/>
    </row>
    <row r="265" spans="8:8" ht="12.75">
      <c r="H265" s="2"/>
    </row>
    <row r="266" spans="8:8" ht="12.75">
      <c r="H266" s="2"/>
    </row>
    <row r="267" spans="8:8" ht="12.75">
      <c r="H267" s="2"/>
    </row>
    <row r="268" spans="8:8" ht="12.75">
      <c r="H268" s="2"/>
    </row>
    <row r="269" spans="8:8" ht="12.75">
      <c r="H269" s="2"/>
    </row>
    <row r="270" spans="8:8" ht="12.75">
      <c r="H270" s="2"/>
    </row>
    <row r="271" spans="8:8" ht="12.75">
      <c r="H271" s="2"/>
    </row>
    <row r="272" spans="8:8" ht="12.75">
      <c r="H272" s="2"/>
    </row>
    <row r="273" spans="8:8" ht="12.75">
      <c r="H273" s="2"/>
    </row>
    <row r="274" spans="8:8" ht="12.75">
      <c r="H274" s="2"/>
    </row>
    <row r="275" spans="8:8" ht="12.75">
      <c r="H275" s="2"/>
    </row>
    <row r="276" spans="8:8" ht="12.75">
      <c r="H276" s="2"/>
    </row>
    <row r="277" spans="8:8" ht="12.75">
      <c r="H277" s="2"/>
    </row>
    <row r="278" spans="8:8" ht="12.75">
      <c r="H278" s="2"/>
    </row>
    <row r="279" spans="8:8" ht="12.75">
      <c r="H279" s="2"/>
    </row>
    <row r="280" spans="8:8" ht="12.75">
      <c r="H280" s="2"/>
    </row>
    <row r="281" spans="8:8" ht="12.75">
      <c r="H281" s="2"/>
    </row>
    <row r="282" spans="8:8" ht="12.75">
      <c r="H282" s="2"/>
    </row>
    <row r="283" spans="8:8" ht="12.75">
      <c r="H283" s="2"/>
    </row>
    <row r="284" spans="8:8" ht="12.75">
      <c r="H284" s="2"/>
    </row>
    <row r="285" spans="8:8" ht="12.75">
      <c r="H285" s="2"/>
    </row>
    <row r="286" spans="8:8" ht="12.75">
      <c r="H286" s="2"/>
    </row>
    <row r="287" spans="8:8" ht="12.75">
      <c r="H287" s="2"/>
    </row>
    <row r="288" spans="8:8" ht="12.75">
      <c r="H288" s="2"/>
    </row>
    <row r="289" spans="8:8" ht="12.75">
      <c r="H289" s="2"/>
    </row>
    <row r="290" spans="8:8" ht="12.75">
      <c r="H290" s="2"/>
    </row>
    <row r="291" spans="8:8" ht="12.75">
      <c r="H291" s="2"/>
    </row>
    <row r="292" spans="8:8" ht="12.75">
      <c r="H292" s="2"/>
    </row>
    <row r="293" spans="8:8" ht="12.75">
      <c r="H293" s="2"/>
    </row>
    <row r="294" spans="8:8" ht="12.75">
      <c r="H294" s="2"/>
    </row>
    <row r="295" spans="8:8" ht="12.75">
      <c r="H295" s="2"/>
    </row>
    <row r="296" spans="8:8" ht="12.75">
      <c r="H296" s="2"/>
    </row>
    <row r="297" spans="8:8" ht="12.75">
      <c r="H297" s="2"/>
    </row>
    <row r="298" spans="8:8" ht="12.75">
      <c r="H298" s="2"/>
    </row>
    <row r="299" spans="8:8" ht="12.75">
      <c r="H299" s="2"/>
    </row>
    <row r="300" spans="8:8" ht="12.75">
      <c r="H300" s="2"/>
    </row>
    <row r="301" spans="8:8" ht="12.75">
      <c r="H301" s="2"/>
    </row>
    <row r="302" spans="8:8" ht="12.75">
      <c r="H302" s="2"/>
    </row>
    <row r="303" spans="8:8" ht="12.75">
      <c r="H303" s="2"/>
    </row>
    <row r="304" spans="8:8" ht="12.75">
      <c r="H304" s="2"/>
    </row>
    <row r="305" spans="8:8" ht="12.75">
      <c r="H305" s="2"/>
    </row>
    <row r="306" spans="8:8" ht="12.75">
      <c r="H306" s="2"/>
    </row>
    <row r="307" spans="8:8" ht="12.75">
      <c r="H307" s="2"/>
    </row>
    <row r="308" spans="8:8" ht="12.75">
      <c r="H308" s="2"/>
    </row>
    <row r="309" spans="8:8" ht="12.75">
      <c r="H309" s="2"/>
    </row>
    <row r="310" spans="8:8" ht="12.75">
      <c r="H310" s="2"/>
    </row>
    <row r="311" spans="8:8" ht="12.75">
      <c r="H311" s="2"/>
    </row>
    <row r="312" spans="8:8" ht="12.75">
      <c r="H312" s="2"/>
    </row>
    <row r="313" spans="8:8" ht="12.75">
      <c r="H313" s="2"/>
    </row>
    <row r="314" spans="8:8" ht="12.75">
      <c r="H314" s="2"/>
    </row>
    <row r="315" spans="8:8" ht="12.75">
      <c r="H315" s="2"/>
    </row>
    <row r="316" spans="8:8" ht="12.75">
      <c r="H316" s="2"/>
    </row>
    <row r="317" spans="8:8" ht="12.75">
      <c r="H317" s="2"/>
    </row>
    <row r="318" spans="8:8" ht="12.75">
      <c r="H318" s="2"/>
    </row>
    <row r="319" spans="8:8" ht="12.75">
      <c r="H319" s="2"/>
    </row>
    <row r="320" spans="8:8" ht="12.75">
      <c r="H320" s="2"/>
    </row>
    <row r="321" spans="8:8" ht="12.75">
      <c r="H321" s="2"/>
    </row>
    <row r="322" spans="8:8" ht="12.75">
      <c r="H322" s="2"/>
    </row>
    <row r="323" spans="8:8" ht="12.75">
      <c r="H323" s="2"/>
    </row>
    <row r="324" spans="8:8" ht="12.75">
      <c r="H324" s="2"/>
    </row>
    <row r="325" spans="8:8" ht="12.75">
      <c r="H325" s="2"/>
    </row>
    <row r="326" spans="8:8" ht="12.75">
      <c r="H326" s="2"/>
    </row>
    <row r="327" spans="8:8" ht="12.75">
      <c r="H327" s="2"/>
    </row>
    <row r="328" spans="8:8" ht="12.75">
      <c r="H328" s="2"/>
    </row>
    <row r="329" spans="8:8" ht="12.75">
      <c r="H329" s="2"/>
    </row>
    <row r="330" spans="8:8" ht="12.75">
      <c r="H330" s="2"/>
    </row>
    <row r="331" spans="8:8" ht="12.75">
      <c r="H331" s="2"/>
    </row>
    <row r="332" spans="8:8" ht="12.75">
      <c r="H332" s="2"/>
    </row>
    <row r="333" spans="8:8" ht="12.75">
      <c r="H333" s="2"/>
    </row>
    <row r="334" spans="8:8" ht="12.75">
      <c r="H334" s="2"/>
    </row>
    <row r="335" spans="8:8" ht="12.75">
      <c r="H335" s="2"/>
    </row>
    <row r="336" spans="8:8" ht="12.75">
      <c r="H336" s="2"/>
    </row>
    <row r="337" spans="8:8" ht="12.75">
      <c r="H337" s="2"/>
    </row>
    <row r="338" spans="8:8" ht="12.75">
      <c r="H338" s="2"/>
    </row>
    <row r="339" spans="8:8" ht="12.75">
      <c r="H339" s="2"/>
    </row>
    <row r="340" spans="8:8" ht="12.75">
      <c r="H340" s="2"/>
    </row>
    <row r="341" spans="8:8" ht="12.75">
      <c r="H341" s="2"/>
    </row>
    <row r="342" spans="8:8" ht="12.75">
      <c r="H342" s="2"/>
    </row>
    <row r="343" spans="8:8" ht="12.75">
      <c r="H343" s="2"/>
    </row>
    <row r="344" spans="8:8" ht="12.75">
      <c r="H344" s="2"/>
    </row>
    <row r="345" spans="8:8" ht="12.75">
      <c r="H345" s="2"/>
    </row>
    <row r="346" spans="8:8" ht="12.75">
      <c r="H346" s="2"/>
    </row>
    <row r="347" spans="8:8" ht="12.75">
      <c r="H347" s="2"/>
    </row>
    <row r="348" spans="8:8" ht="12.75">
      <c r="H348" s="2"/>
    </row>
    <row r="349" spans="8:8" ht="12.75">
      <c r="H349" s="2"/>
    </row>
    <row r="350" spans="8:8" ht="12.75">
      <c r="H350" s="2"/>
    </row>
    <row r="351" spans="8:8" ht="12.75">
      <c r="H351" s="2"/>
    </row>
    <row r="352" spans="8:8" ht="12.75">
      <c r="H352" s="2"/>
    </row>
    <row r="353" spans="8:8" ht="12.75">
      <c r="H353" s="2"/>
    </row>
    <row r="354" spans="8:8" ht="12.75">
      <c r="H354" s="2"/>
    </row>
    <row r="355" spans="8:8" ht="12.75">
      <c r="H355" s="2"/>
    </row>
    <row r="356" spans="8:8" ht="12.75">
      <c r="H356" s="2"/>
    </row>
    <row r="357" spans="8:8" ht="12.75">
      <c r="H357" s="2"/>
    </row>
    <row r="358" spans="8:8" ht="12.75">
      <c r="H358" s="2"/>
    </row>
    <row r="359" spans="8:8" ht="12.75">
      <c r="H359" s="2"/>
    </row>
    <row r="360" spans="8:8" ht="12.75">
      <c r="H360" s="2"/>
    </row>
    <row r="361" spans="8:8" ht="12.75">
      <c r="H361" s="2"/>
    </row>
    <row r="362" spans="8:8" ht="12.75">
      <c r="H362" s="2"/>
    </row>
    <row r="363" spans="8:8" ht="12.75">
      <c r="H363" s="2"/>
    </row>
    <row r="364" spans="8:8" ht="12.75">
      <c r="H364" s="2"/>
    </row>
    <row r="365" spans="8:8" ht="12.75">
      <c r="H365" s="2"/>
    </row>
    <row r="366" spans="8:8" ht="12.75">
      <c r="H366" s="2"/>
    </row>
    <row r="367" spans="8:8" ht="12.75">
      <c r="H367" s="2"/>
    </row>
    <row r="368" spans="8:8" ht="12.75">
      <c r="H368" s="2"/>
    </row>
    <row r="369" spans="8:8" ht="12.75">
      <c r="H369" s="2"/>
    </row>
    <row r="370" spans="8:8" ht="12.75">
      <c r="H370" s="2"/>
    </row>
    <row r="371" spans="8:8" ht="12.75">
      <c r="H371" s="2"/>
    </row>
    <row r="372" spans="8:8" ht="12.75">
      <c r="H372" s="2"/>
    </row>
    <row r="373" spans="8:8" ht="12.75">
      <c r="H373" s="2"/>
    </row>
    <row r="374" spans="8:8" ht="12.75">
      <c r="H374" s="2"/>
    </row>
    <row r="375" spans="8:8" ht="12.75">
      <c r="H375" s="2"/>
    </row>
    <row r="376" spans="8:8" ht="12.75">
      <c r="H376" s="2"/>
    </row>
    <row r="377" spans="8:8" ht="12.75">
      <c r="H377" s="2"/>
    </row>
    <row r="378" spans="8:8" ht="12.75">
      <c r="H378" s="2"/>
    </row>
    <row r="379" spans="8:8" ht="12.75">
      <c r="H379" s="2"/>
    </row>
    <row r="380" spans="8:8" ht="12.75">
      <c r="H380" s="2"/>
    </row>
    <row r="381" spans="8:8" ht="12.75">
      <c r="H381" s="2"/>
    </row>
    <row r="382" spans="8:8" ht="12.75">
      <c r="H382" s="2"/>
    </row>
    <row r="383" spans="8:8" ht="12.75">
      <c r="H383" s="2"/>
    </row>
    <row r="384" spans="8:8" ht="12.75">
      <c r="H384" s="2"/>
    </row>
    <row r="385" spans="8:8" ht="12.75">
      <c r="H385" s="2"/>
    </row>
    <row r="386" spans="8:8" ht="12.75">
      <c r="H386" s="2"/>
    </row>
    <row r="387" spans="8:8" ht="12.75">
      <c r="H387" s="2"/>
    </row>
    <row r="388" spans="8:8" ht="12.75">
      <c r="H388" s="2"/>
    </row>
    <row r="389" spans="8:8" ht="12.75">
      <c r="H389" s="2"/>
    </row>
    <row r="390" spans="8:8" ht="12.75">
      <c r="H390" s="2"/>
    </row>
    <row r="391" spans="8:8" ht="12.75">
      <c r="H391" s="2"/>
    </row>
    <row r="392" spans="8:8" ht="12.75">
      <c r="H392" s="2"/>
    </row>
    <row r="393" spans="8:8" ht="12.75">
      <c r="H393" s="2"/>
    </row>
    <row r="394" spans="8:8" ht="12.75">
      <c r="H394" s="2"/>
    </row>
    <row r="395" spans="8:8" ht="12.75">
      <c r="H395" s="2"/>
    </row>
    <row r="396" spans="8:8" ht="12.75">
      <c r="H396" s="2"/>
    </row>
    <row r="397" spans="8:8" ht="12.75">
      <c r="H397" s="2"/>
    </row>
    <row r="398" spans="8:8" ht="12.75">
      <c r="H398" s="2"/>
    </row>
    <row r="399" spans="8:8" ht="12.75">
      <c r="H399" s="2"/>
    </row>
    <row r="400" spans="8:8" ht="12.75">
      <c r="H400" s="2"/>
    </row>
    <row r="401" spans="8:8" ht="12.75">
      <c r="H401" s="2"/>
    </row>
    <row r="402" spans="8:8" ht="12.75">
      <c r="H402" s="2"/>
    </row>
    <row r="403" spans="8:8" ht="12.75">
      <c r="H403" s="2"/>
    </row>
    <row r="404" spans="8:8" ht="12.75">
      <c r="H404" s="2"/>
    </row>
    <row r="405" spans="8:8" ht="12.75">
      <c r="H405" s="2"/>
    </row>
    <row r="406" spans="8:8" ht="12.75">
      <c r="H406" s="2"/>
    </row>
    <row r="407" spans="8:8" ht="12.75">
      <c r="H407" s="2"/>
    </row>
    <row r="408" spans="8:8" ht="12.75">
      <c r="H408" s="2"/>
    </row>
    <row r="409" spans="8:8" ht="12.75">
      <c r="H409" s="2"/>
    </row>
    <row r="410" spans="8:8" ht="12.75">
      <c r="H410" s="2"/>
    </row>
    <row r="411" spans="8:8" ht="12.75">
      <c r="H411" s="2"/>
    </row>
    <row r="412" spans="8:8" ht="12.75">
      <c r="H412" s="2"/>
    </row>
    <row r="413" spans="8:8" ht="12.75">
      <c r="H413" s="2"/>
    </row>
    <row r="414" spans="8:8" ht="12.75">
      <c r="H414" s="2"/>
    </row>
    <row r="415" spans="8:8" ht="12.75">
      <c r="H415" s="2"/>
    </row>
    <row r="416" spans="8:8" ht="12.75">
      <c r="H416" s="2"/>
    </row>
    <row r="417" spans="8:8" ht="12.75">
      <c r="H417" s="2"/>
    </row>
    <row r="418" spans="8:8" ht="12.75">
      <c r="H418" s="2"/>
    </row>
    <row r="419" spans="8:8" ht="12.75">
      <c r="H419" s="2"/>
    </row>
    <row r="420" spans="8:8" ht="12.75">
      <c r="H420" s="2"/>
    </row>
    <row r="421" spans="8:8" ht="12.75">
      <c r="H421" s="2"/>
    </row>
    <row r="422" spans="8:8" ht="12.75">
      <c r="H422" s="2"/>
    </row>
    <row r="423" spans="8:8" ht="12.75">
      <c r="H423" s="2"/>
    </row>
    <row r="424" spans="8:8" ht="12.75">
      <c r="H424" s="2"/>
    </row>
    <row r="425" spans="8:8" ht="12.75">
      <c r="H425" s="2"/>
    </row>
    <row r="426" spans="8:8" ht="12.75">
      <c r="H426" s="2"/>
    </row>
    <row r="427" spans="8:8" ht="12.75">
      <c r="H427" s="2"/>
    </row>
    <row r="428" spans="8:8" ht="12.75">
      <c r="H428" s="2"/>
    </row>
    <row r="429" spans="8:8" ht="12.75">
      <c r="H429" s="2"/>
    </row>
    <row r="430" spans="8:8" ht="12.75">
      <c r="H430" s="2"/>
    </row>
    <row r="431" spans="8:8" ht="12.75">
      <c r="H431" s="2"/>
    </row>
    <row r="432" spans="8:8" ht="12.75">
      <c r="H432" s="2"/>
    </row>
    <row r="433" spans="8:8" ht="12.75">
      <c r="H433" s="2"/>
    </row>
    <row r="434" spans="8:8" ht="12.75">
      <c r="H434" s="2"/>
    </row>
    <row r="435" spans="8:8" ht="12.75">
      <c r="H435" s="2"/>
    </row>
    <row r="436" spans="8:8" ht="12.75">
      <c r="H436" s="2"/>
    </row>
    <row r="437" spans="8:8" ht="12.75">
      <c r="H437" s="2"/>
    </row>
    <row r="438" spans="8:8" ht="12.75">
      <c r="H438" s="2"/>
    </row>
    <row r="439" spans="8:8" ht="12.75">
      <c r="H439" s="2"/>
    </row>
    <row r="440" spans="8:8" ht="12.75">
      <c r="H440" s="2"/>
    </row>
    <row r="441" spans="8:8" ht="12.75">
      <c r="H441" s="2"/>
    </row>
    <row r="442" spans="8:8" ht="12.75">
      <c r="H442" s="2"/>
    </row>
    <row r="443" spans="8:8" ht="12.75">
      <c r="H443" s="2"/>
    </row>
    <row r="444" spans="8:8" ht="12.75">
      <c r="H444" s="2"/>
    </row>
    <row r="445" spans="8:8" ht="12.75">
      <c r="H445" s="2"/>
    </row>
    <row r="446" spans="8:8" ht="12.75">
      <c r="H446" s="2"/>
    </row>
    <row r="447" spans="8:8" ht="12.75">
      <c r="H447" s="2"/>
    </row>
    <row r="448" spans="8:8" ht="12.75">
      <c r="H448" s="2"/>
    </row>
    <row r="449" spans="8:8" ht="12.75">
      <c r="H449" s="2"/>
    </row>
    <row r="450" spans="8:8" ht="12.75">
      <c r="H450" s="2"/>
    </row>
    <row r="451" spans="8:8" ht="12.75">
      <c r="H451" s="2"/>
    </row>
    <row r="452" spans="8:8" ht="12.75">
      <c r="H452" s="2"/>
    </row>
    <row r="453" spans="8:8" ht="12.75">
      <c r="H453" s="2"/>
    </row>
    <row r="454" spans="8:8" ht="12.75">
      <c r="H454" s="2"/>
    </row>
    <row r="455" spans="8:8" ht="12.75">
      <c r="H455" s="2"/>
    </row>
    <row r="456" spans="8:8" ht="12.75">
      <c r="H456" s="2"/>
    </row>
    <row r="457" spans="8:8" ht="12.75">
      <c r="H457" s="2"/>
    </row>
    <row r="458" spans="8:8" ht="12.75">
      <c r="H458" s="2"/>
    </row>
    <row r="459" spans="8:8" ht="12.75">
      <c r="H459" s="2"/>
    </row>
    <row r="460" spans="8:8" ht="12.75">
      <c r="H460" s="2"/>
    </row>
    <row r="461" spans="8:8" ht="12.75">
      <c r="H461" s="2"/>
    </row>
    <row r="462" spans="8:8" ht="12.75">
      <c r="H462" s="2"/>
    </row>
    <row r="463" spans="8:8" ht="12.75">
      <c r="H463" s="2"/>
    </row>
    <row r="464" spans="8:8" ht="12.75">
      <c r="H464" s="2"/>
    </row>
    <row r="465" spans="8:8" ht="12.75">
      <c r="H465" s="2"/>
    </row>
    <row r="466" spans="8:8" ht="12.75">
      <c r="H466" s="2"/>
    </row>
    <row r="467" spans="8:8" ht="12.75">
      <c r="H467" s="2"/>
    </row>
    <row r="468" spans="8:8" ht="12.75">
      <c r="H468" s="2"/>
    </row>
    <row r="469" spans="8:8" ht="12.75">
      <c r="H469" s="2"/>
    </row>
    <row r="470" spans="8:8" ht="12.75">
      <c r="H470" s="2"/>
    </row>
    <row r="471" spans="8:8" ht="12.75">
      <c r="H471" s="2"/>
    </row>
    <row r="472" spans="8:8" ht="12.75">
      <c r="H472" s="2"/>
    </row>
    <row r="473" spans="8:8" ht="12.75">
      <c r="H473" s="2"/>
    </row>
    <row r="474" spans="8:8" ht="12.75">
      <c r="H474" s="2"/>
    </row>
    <row r="475" spans="8:8" ht="12.75">
      <c r="H475" s="2"/>
    </row>
    <row r="476" spans="8:8" ht="12.75">
      <c r="H476" s="2"/>
    </row>
    <row r="477" spans="8:8" ht="12.75">
      <c r="H477" s="2"/>
    </row>
    <row r="478" spans="8:8" ht="12.75">
      <c r="H478" s="2"/>
    </row>
    <row r="479" spans="8:8" ht="12.75">
      <c r="H479" s="2"/>
    </row>
    <row r="480" spans="8:8" ht="12.75">
      <c r="H480" s="2"/>
    </row>
    <row r="481" spans="8:8" ht="12.75">
      <c r="H481" s="2"/>
    </row>
    <row r="482" spans="8:8" ht="12.75">
      <c r="H482" s="2"/>
    </row>
    <row r="483" spans="8:8" ht="12.75">
      <c r="H483" s="2"/>
    </row>
    <row r="484" spans="8:8" ht="12.75">
      <c r="H484" s="2"/>
    </row>
    <row r="485" spans="8:8" ht="12.75">
      <c r="H485" s="2"/>
    </row>
    <row r="486" spans="8:8" ht="12.75">
      <c r="H486" s="2"/>
    </row>
    <row r="487" spans="8:8" ht="12.75">
      <c r="H487" s="2"/>
    </row>
    <row r="488" spans="8:8" ht="12.75">
      <c r="H488" s="2"/>
    </row>
    <row r="489" spans="8:8" ht="12.75">
      <c r="H489" s="2"/>
    </row>
    <row r="490" spans="8:8" ht="12.75">
      <c r="H490" s="2"/>
    </row>
    <row r="491" spans="8:8" ht="12.75">
      <c r="H491" s="2"/>
    </row>
    <row r="492" spans="8:8" ht="12.75">
      <c r="H492" s="2"/>
    </row>
    <row r="493" spans="8:8" ht="12.75">
      <c r="H493" s="2"/>
    </row>
    <row r="494" spans="8:8" ht="12.75">
      <c r="H494" s="2"/>
    </row>
    <row r="495" spans="8:8" ht="12.75">
      <c r="H495" s="2"/>
    </row>
    <row r="496" spans="8:8" ht="12.75">
      <c r="H496" s="2"/>
    </row>
    <row r="497" spans="8:8" ht="12.75">
      <c r="H497" s="2"/>
    </row>
    <row r="498" spans="8:8" ht="12.75">
      <c r="H498" s="2"/>
    </row>
    <row r="499" spans="8:8" ht="12.75">
      <c r="H499" s="2"/>
    </row>
    <row r="500" spans="8:8" ht="12.75">
      <c r="H500" s="2"/>
    </row>
    <row r="501" spans="8:8" ht="12.75">
      <c r="H501" s="2"/>
    </row>
    <row r="502" spans="8:8" ht="12.75">
      <c r="H502" s="2"/>
    </row>
    <row r="503" spans="8:8" ht="12.75">
      <c r="H503" s="2"/>
    </row>
    <row r="504" spans="8:8" ht="12.75">
      <c r="H504" s="2"/>
    </row>
    <row r="505" spans="8:8" ht="12.75">
      <c r="H505" s="2"/>
    </row>
    <row r="506" spans="8:8" ht="12.75">
      <c r="H506" s="2"/>
    </row>
    <row r="507" spans="8:8" ht="12.75">
      <c r="H507" s="2"/>
    </row>
    <row r="508" spans="8:8" ht="12.75">
      <c r="H508" s="2"/>
    </row>
    <row r="509" spans="8:8" ht="12.75">
      <c r="H509" s="2"/>
    </row>
    <row r="510" spans="8:8" ht="12.75">
      <c r="H510" s="2"/>
    </row>
    <row r="511" spans="8:8" ht="12.75">
      <c r="H511" s="2"/>
    </row>
    <row r="512" spans="8:8" ht="12.75">
      <c r="H512" s="2"/>
    </row>
    <row r="513" spans="8:8" ht="12.75">
      <c r="H513" s="2"/>
    </row>
    <row r="514" spans="8:8" ht="12.75">
      <c r="H514" s="2"/>
    </row>
    <row r="515" spans="8:8" ht="12.75">
      <c r="H515" s="2"/>
    </row>
    <row r="516" spans="8:8" ht="12.75">
      <c r="H516" s="2"/>
    </row>
    <row r="517" spans="8:8" ht="12.75">
      <c r="H517" s="2"/>
    </row>
    <row r="518" spans="8:8" ht="12.75">
      <c r="H518" s="2"/>
    </row>
    <row r="519" spans="8:8" ht="12.75">
      <c r="H519" s="2"/>
    </row>
    <row r="520" spans="8:8" ht="12.75">
      <c r="H520" s="2"/>
    </row>
    <row r="521" spans="8:8" ht="12.75">
      <c r="H521" s="2"/>
    </row>
    <row r="522" spans="8:8" ht="12.75">
      <c r="H522" s="2"/>
    </row>
    <row r="523" spans="8:8" ht="12.75">
      <c r="H523" s="2"/>
    </row>
    <row r="524" spans="8:8" ht="12.75">
      <c r="H524" s="2"/>
    </row>
    <row r="525" spans="8:8" ht="12.75">
      <c r="H525" s="2"/>
    </row>
    <row r="526" spans="8:8" ht="12.75">
      <c r="H526" s="2"/>
    </row>
    <row r="527" spans="8:8" ht="12.75">
      <c r="H527" s="2"/>
    </row>
    <row r="528" spans="8:8" ht="12.75">
      <c r="H528" s="2"/>
    </row>
    <row r="529" spans="8:8" ht="12.75">
      <c r="H529" s="2"/>
    </row>
    <row r="530" spans="8:8" ht="12.75">
      <c r="H530" s="2"/>
    </row>
    <row r="531" spans="8:8" ht="12.75">
      <c r="H531" s="2"/>
    </row>
    <row r="532" spans="8:8" ht="12.75">
      <c r="H532" s="2"/>
    </row>
    <row r="533" spans="8:8" ht="12.75">
      <c r="H533" s="2"/>
    </row>
    <row r="534" spans="8:8" ht="12.75">
      <c r="H534" s="2"/>
    </row>
    <row r="535" spans="8:8" ht="12.75">
      <c r="H535" s="2"/>
    </row>
    <row r="536" spans="8:8" ht="12.75">
      <c r="H536" s="2"/>
    </row>
    <row r="537" spans="8:8" ht="12.75">
      <c r="H537" s="2"/>
    </row>
    <row r="538" spans="8:8" ht="12.75">
      <c r="H538" s="2"/>
    </row>
    <row r="539" spans="8:8" ht="12.75">
      <c r="H539" s="2"/>
    </row>
    <row r="540" spans="8:8" ht="12.75">
      <c r="H540" s="2"/>
    </row>
    <row r="541" spans="8:8" ht="12.75">
      <c r="H541" s="2"/>
    </row>
    <row r="542" spans="8:8" ht="12.75">
      <c r="H542" s="2"/>
    </row>
    <row r="543" spans="8:8" ht="12.75">
      <c r="H543" s="2"/>
    </row>
    <row r="544" spans="8:8" ht="12.75">
      <c r="H544" s="2"/>
    </row>
    <row r="545" spans="8:8" ht="12.75">
      <c r="H545" s="2"/>
    </row>
    <row r="546" spans="8:8" ht="12.75">
      <c r="H546" s="2"/>
    </row>
    <row r="547" spans="8:8" ht="12.75">
      <c r="H547" s="2"/>
    </row>
    <row r="548" spans="8:8" ht="12.75">
      <c r="H548" s="2"/>
    </row>
    <row r="549" spans="8:8" ht="12.75">
      <c r="H549" s="2"/>
    </row>
    <row r="550" spans="8:8" ht="12.75">
      <c r="H550" s="2"/>
    </row>
    <row r="551" spans="8:8" ht="12.75">
      <c r="H551" s="2"/>
    </row>
    <row r="552" spans="8:8" ht="12.75">
      <c r="H552" s="2"/>
    </row>
    <row r="553" spans="8:8" ht="12.75">
      <c r="H553" s="2"/>
    </row>
    <row r="554" spans="8:8" ht="12.75">
      <c r="H554" s="2"/>
    </row>
    <row r="555" spans="8:8" ht="12.75">
      <c r="H555" s="2"/>
    </row>
    <row r="556" spans="8:8" ht="12.75">
      <c r="H556" s="2"/>
    </row>
    <row r="557" spans="8:8" ht="12.75">
      <c r="H557" s="2"/>
    </row>
    <row r="558" spans="8:8" ht="12.75">
      <c r="H558" s="2"/>
    </row>
    <row r="559" spans="8:8" ht="12.75">
      <c r="H559" s="2"/>
    </row>
    <row r="560" spans="8:8" ht="12.75">
      <c r="H560" s="2"/>
    </row>
    <row r="561" spans="8:8" ht="12.75">
      <c r="H561" s="2"/>
    </row>
    <row r="562" spans="8:8" ht="12.75">
      <c r="H562" s="2"/>
    </row>
    <row r="563" spans="8:8" ht="12.75">
      <c r="H563" s="2"/>
    </row>
    <row r="564" spans="8:8" ht="12.75">
      <c r="H564" s="2"/>
    </row>
    <row r="565" spans="8:8" ht="12.75">
      <c r="H565" s="2"/>
    </row>
    <row r="566" spans="8:8" ht="12.75">
      <c r="H566" s="2"/>
    </row>
    <row r="567" spans="8:8" ht="12.75">
      <c r="H567" s="2"/>
    </row>
    <row r="568" spans="8:8" ht="12.75">
      <c r="H568" s="2"/>
    </row>
    <row r="569" spans="8:8" ht="12.75">
      <c r="H569" s="2"/>
    </row>
    <row r="570" spans="8:8" ht="12.75">
      <c r="H570" s="2"/>
    </row>
    <row r="571" spans="8:8" ht="12.75">
      <c r="H571" s="2"/>
    </row>
    <row r="572" spans="8:8" ht="12.75">
      <c r="H572" s="2"/>
    </row>
    <row r="573" spans="8:8" ht="12.75">
      <c r="H573" s="2"/>
    </row>
    <row r="574" spans="8:8" ht="12.75">
      <c r="H574" s="2"/>
    </row>
    <row r="575" spans="8:8" ht="12.75">
      <c r="H575" s="2"/>
    </row>
    <row r="576" spans="8:8" ht="12.75">
      <c r="H576" s="2"/>
    </row>
    <row r="577" spans="8:8" ht="12.75">
      <c r="H577" s="2"/>
    </row>
    <row r="578" spans="8:8" ht="12.75">
      <c r="H578" s="2"/>
    </row>
    <row r="579" spans="8:8" ht="12.75">
      <c r="H579" s="2"/>
    </row>
    <row r="580" spans="8:8" ht="12.75">
      <c r="H580" s="2"/>
    </row>
    <row r="581" spans="8:8" ht="12.75">
      <c r="H581" s="2"/>
    </row>
    <row r="582" spans="8:8" ht="12.75">
      <c r="H582" s="2"/>
    </row>
    <row r="583" spans="8:8" ht="12.75">
      <c r="H583" s="2"/>
    </row>
    <row r="584" spans="8:8" ht="12.75">
      <c r="H584" s="2"/>
    </row>
    <row r="585" spans="8:8" ht="12.75">
      <c r="H585" s="2"/>
    </row>
    <row r="586" spans="8:8" ht="12.75">
      <c r="H586" s="2"/>
    </row>
    <row r="587" spans="8:8" ht="12.75">
      <c r="H587" s="2"/>
    </row>
    <row r="588" spans="8:8" ht="12.75">
      <c r="H588" s="2"/>
    </row>
    <row r="589" spans="8:8" ht="12.75">
      <c r="H589" s="2"/>
    </row>
    <row r="590" spans="8:8" ht="12.75">
      <c r="H590" s="2"/>
    </row>
    <row r="591" spans="8:8" ht="12.75">
      <c r="H591" s="2"/>
    </row>
    <row r="592" spans="8:8" ht="12.75">
      <c r="H592" s="2"/>
    </row>
    <row r="593" spans="8:8" ht="12.75">
      <c r="H593" s="2"/>
    </row>
    <row r="594" spans="8:8" ht="12.75">
      <c r="H594" s="2"/>
    </row>
    <row r="595" spans="8:8" ht="12.75">
      <c r="H595" s="2"/>
    </row>
    <row r="596" spans="8:8" ht="12.75">
      <c r="H596" s="2"/>
    </row>
    <row r="597" spans="8:8" ht="12.75">
      <c r="H597" s="2"/>
    </row>
    <row r="598" spans="8:8" ht="12.75">
      <c r="H598" s="2"/>
    </row>
    <row r="599" spans="8:8" ht="12.75">
      <c r="H599" s="2"/>
    </row>
    <row r="600" spans="8:8" ht="12.75">
      <c r="H600" s="2"/>
    </row>
    <row r="601" spans="8:8" ht="12.75">
      <c r="H601" s="2"/>
    </row>
    <row r="602" spans="8:8" ht="12.75">
      <c r="H602" s="2"/>
    </row>
    <row r="603" spans="8:8" ht="12.75">
      <c r="H603" s="2"/>
    </row>
    <row r="604" spans="8:8" ht="12.75">
      <c r="H604" s="2"/>
    </row>
    <row r="605" spans="8:8" ht="12.75">
      <c r="H605" s="2"/>
    </row>
    <row r="606" spans="8:8" ht="12.75">
      <c r="H606" s="2"/>
    </row>
    <row r="607" spans="8:8" ht="12.75">
      <c r="H607" s="2"/>
    </row>
    <row r="608" spans="8:8" ht="12.75">
      <c r="H608" s="2"/>
    </row>
    <row r="609" spans="8:8" ht="12.75">
      <c r="H609" s="2"/>
    </row>
    <row r="610" spans="8:8" ht="12.75">
      <c r="H610" s="2"/>
    </row>
    <row r="611" spans="8:8" ht="12.75">
      <c r="H611" s="2"/>
    </row>
    <row r="612" spans="8:8" ht="12.75">
      <c r="H612" s="2"/>
    </row>
    <row r="613" spans="8:8" ht="12.75">
      <c r="H613" s="2"/>
    </row>
    <row r="614" spans="8:8" ht="12.75">
      <c r="H614" s="2"/>
    </row>
    <row r="615" spans="8:8" ht="12.75">
      <c r="H615" s="2"/>
    </row>
    <row r="616" spans="8:8" ht="12.75">
      <c r="H616" s="2"/>
    </row>
    <row r="617" spans="8:8" ht="12.75">
      <c r="H617" s="2"/>
    </row>
    <row r="618" spans="8:8" ht="12.75">
      <c r="H618" s="2"/>
    </row>
    <row r="619" spans="8:8" ht="12.75">
      <c r="H619" s="2"/>
    </row>
    <row r="620" spans="8:8" ht="12.75">
      <c r="H620" s="2"/>
    </row>
    <row r="621" spans="8:8" ht="12.75">
      <c r="H621" s="2"/>
    </row>
    <row r="622" spans="8:8" ht="12.75">
      <c r="H622" s="2"/>
    </row>
    <row r="623" spans="8:8" ht="12.75">
      <c r="H623" s="2"/>
    </row>
    <row r="624" spans="8:8" ht="12.75">
      <c r="H624" s="2"/>
    </row>
    <row r="625" spans="8:8" ht="12.75">
      <c r="H625" s="2"/>
    </row>
    <row r="626" spans="8:8" ht="12.75">
      <c r="H626" s="2"/>
    </row>
    <row r="627" spans="8:8" ht="12.75">
      <c r="H627" s="2"/>
    </row>
    <row r="628" spans="8:8" ht="12.75">
      <c r="H628" s="2"/>
    </row>
    <row r="629" spans="8:8" ht="12.75">
      <c r="H629" s="2"/>
    </row>
    <row r="630" spans="8:8" ht="12.75">
      <c r="H630" s="2"/>
    </row>
    <row r="631" spans="8:8" ht="12.75">
      <c r="H631" s="2"/>
    </row>
    <row r="632" spans="8:8" ht="12.75">
      <c r="H632" s="2"/>
    </row>
    <row r="633" spans="8:8" ht="12.75">
      <c r="H633" s="2"/>
    </row>
    <row r="634" spans="8:8" ht="12.75">
      <c r="H634" s="2"/>
    </row>
    <row r="635" spans="8:8" ht="12.75">
      <c r="H635" s="2"/>
    </row>
    <row r="636" spans="8:8" ht="12.75">
      <c r="H636" s="2"/>
    </row>
    <row r="637" spans="8:8" ht="12.75">
      <c r="H637" s="2"/>
    </row>
    <row r="638" spans="8:8" ht="12.75">
      <c r="H638" s="2"/>
    </row>
    <row r="639" spans="8:8" ht="12.75">
      <c r="H639" s="2"/>
    </row>
    <row r="640" spans="8:8" ht="12.75">
      <c r="H640" s="2"/>
    </row>
    <row r="641" spans="8:8" ht="12.75">
      <c r="H641" s="2"/>
    </row>
    <row r="642" spans="8:8" ht="12.75">
      <c r="H642" s="2"/>
    </row>
    <row r="643" spans="8:8" ht="12.75">
      <c r="H643" s="2"/>
    </row>
    <row r="644" spans="8:8" ht="12.75">
      <c r="H644" s="2"/>
    </row>
    <row r="645" spans="8:8" ht="12.75">
      <c r="H645" s="2"/>
    </row>
    <row r="646" spans="8:8" ht="12.75">
      <c r="H646" s="2"/>
    </row>
    <row r="647" spans="8:8" ht="12.75">
      <c r="H647" s="2"/>
    </row>
    <row r="648" spans="8:8" ht="12.75">
      <c r="H648" s="2"/>
    </row>
    <row r="649" spans="8:8" ht="12.75">
      <c r="H649" s="2"/>
    </row>
    <row r="650" spans="8:8" ht="12.75">
      <c r="H650" s="2"/>
    </row>
    <row r="651" spans="8:8" ht="12.75">
      <c r="H651" s="2"/>
    </row>
    <row r="652" spans="8:8" ht="12.75">
      <c r="H652" s="2"/>
    </row>
    <row r="653" spans="8:8" ht="12.75">
      <c r="H653" s="2"/>
    </row>
    <row r="654" spans="8:8" ht="12.75">
      <c r="H654" s="2"/>
    </row>
    <row r="655" spans="8:8" ht="12.75">
      <c r="H655" s="2"/>
    </row>
    <row r="656" spans="8:8" ht="12.75">
      <c r="H656" s="2"/>
    </row>
    <row r="657" spans="8:8" ht="12.75">
      <c r="H657" s="2"/>
    </row>
    <row r="658" spans="8:8" ht="12.75">
      <c r="H658" s="2"/>
    </row>
    <row r="659" spans="8:8" ht="12.75">
      <c r="H659" s="2"/>
    </row>
    <row r="660" spans="8:8" ht="12.75">
      <c r="H660" s="2"/>
    </row>
    <row r="661" spans="8:8" ht="12.75">
      <c r="H661" s="2"/>
    </row>
    <row r="662" spans="8:8" ht="12.75">
      <c r="H662" s="2"/>
    </row>
    <row r="663" spans="8:8" ht="12.75">
      <c r="H663" s="2"/>
    </row>
    <row r="664" spans="8:8" ht="12.75">
      <c r="H664" s="2"/>
    </row>
    <row r="665" spans="8:8" ht="12.75">
      <c r="H665" s="2"/>
    </row>
    <row r="666" spans="8:8" ht="12.75">
      <c r="H666" s="2"/>
    </row>
    <row r="667" spans="8:8" ht="12.75">
      <c r="H667" s="2"/>
    </row>
    <row r="668" spans="8:8" ht="12.75">
      <c r="H668" s="2"/>
    </row>
    <row r="669" spans="8:8" ht="12.75">
      <c r="H669" s="2"/>
    </row>
    <row r="670" spans="8:8" ht="12.75">
      <c r="H670" s="2"/>
    </row>
    <row r="671" spans="8:8" ht="12.75">
      <c r="H671" s="2"/>
    </row>
    <row r="672" spans="8:8" ht="12.75">
      <c r="H672" s="2"/>
    </row>
    <row r="673" spans="8:8" ht="12.75">
      <c r="H673" s="2"/>
    </row>
    <row r="674" spans="8:8" ht="12.75">
      <c r="H674" s="2"/>
    </row>
    <row r="675" spans="8:8" ht="12.75">
      <c r="H675" s="2"/>
    </row>
    <row r="676" spans="8:8" ht="12.75">
      <c r="H676" s="2"/>
    </row>
    <row r="677" spans="8:8" ht="12.75">
      <c r="H677" s="2"/>
    </row>
    <row r="678" spans="8:8" ht="12.75">
      <c r="H678" s="2"/>
    </row>
    <row r="679" spans="8:8" ht="12.75">
      <c r="H679" s="2"/>
    </row>
    <row r="680" spans="8:8" ht="12.75">
      <c r="H680" s="2"/>
    </row>
    <row r="681" spans="8:8" ht="12.75">
      <c r="H681" s="2"/>
    </row>
    <row r="682" spans="8:8" ht="12.75">
      <c r="H682" s="2"/>
    </row>
    <row r="683" spans="8:8" ht="12.75">
      <c r="H683" s="2"/>
    </row>
    <row r="684" spans="8:8" ht="12.75">
      <c r="H684" s="2"/>
    </row>
    <row r="685" spans="8:8" ht="12.75">
      <c r="H685" s="2"/>
    </row>
    <row r="686" spans="8:8" ht="12.75">
      <c r="H686" s="2"/>
    </row>
    <row r="687" spans="8:8" ht="12.75">
      <c r="H687" s="2"/>
    </row>
    <row r="688" spans="8:8" ht="12.75">
      <c r="H688" s="2"/>
    </row>
    <row r="689" spans="8:8" ht="12.75">
      <c r="H689" s="2"/>
    </row>
    <row r="690" spans="8:8" ht="12.75">
      <c r="H690" s="2"/>
    </row>
    <row r="691" spans="8:8" ht="12.75">
      <c r="H691" s="2"/>
    </row>
    <row r="692" spans="8:8" ht="12.75">
      <c r="H692" s="2"/>
    </row>
    <row r="693" spans="8:8" ht="12.75">
      <c r="H693" s="2"/>
    </row>
    <row r="694" spans="8:8" ht="12.75">
      <c r="H694" s="2"/>
    </row>
    <row r="695" spans="8:8" ht="12.75">
      <c r="H695" s="2"/>
    </row>
    <row r="696" spans="8:8" ht="12.75">
      <c r="H696" s="2"/>
    </row>
    <row r="697" spans="8:8" ht="12.75">
      <c r="H697" s="2"/>
    </row>
    <row r="698" spans="8:8" ht="12.75">
      <c r="H698" s="2"/>
    </row>
    <row r="699" spans="8:8" ht="12.75">
      <c r="H699" s="2"/>
    </row>
    <row r="700" spans="8:8" ht="12.75">
      <c r="H700" s="2"/>
    </row>
    <row r="701" spans="8:8" ht="12.75">
      <c r="H701" s="2"/>
    </row>
    <row r="702" spans="8:8" ht="12.75">
      <c r="H702" s="2"/>
    </row>
    <row r="703" spans="8:8" ht="12.75">
      <c r="H703" s="2"/>
    </row>
    <row r="704" spans="8:8" ht="12.75">
      <c r="H704" s="2"/>
    </row>
    <row r="705" spans="8:8" ht="12.75">
      <c r="H705" s="2"/>
    </row>
    <row r="706" spans="8:8" ht="12.75">
      <c r="H706" s="2"/>
    </row>
    <row r="707" spans="8:8" ht="12.75">
      <c r="H707" s="2"/>
    </row>
    <row r="708" spans="8:8" ht="12.75">
      <c r="H708" s="2"/>
    </row>
    <row r="709" spans="8:8" ht="12.75">
      <c r="H709" s="2"/>
    </row>
    <row r="710" spans="8:8" ht="12.75">
      <c r="H710" s="2"/>
    </row>
    <row r="711" spans="8:8" ht="12.75">
      <c r="H711" s="2"/>
    </row>
    <row r="712" spans="8:8" ht="12.75">
      <c r="H712" s="2"/>
    </row>
    <row r="713" spans="8:8" ht="12.75">
      <c r="H713" s="2"/>
    </row>
    <row r="714" spans="8:8" ht="12.75">
      <c r="H714" s="2"/>
    </row>
    <row r="715" spans="8:8" ht="12.75">
      <c r="H715" s="2"/>
    </row>
    <row r="716" spans="8:8" ht="12.75">
      <c r="H716" s="2"/>
    </row>
    <row r="717" spans="8:8" ht="12.75">
      <c r="H717" s="2"/>
    </row>
    <row r="718" spans="8:8" ht="12.75">
      <c r="H718" s="2"/>
    </row>
    <row r="719" spans="8:8" ht="12.75">
      <c r="H719" s="2"/>
    </row>
    <row r="720" spans="8:8" ht="12.75">
      <c r="H720" s="2"/>
    </row>
    <row r="721" spans="8:8" ht="12.75">
      <c r="H721" s="2"/>
    </row>
    <row r="722" spans="8:8" ht="12.75">
      <c r="H722" s="2"/>
    </row>
    <row r="723" spans="8:8" ht="12.75">
      <c r="H723" s="2"/>
    </row>
    <row r="724" spans="8:8" ht="12.75">
      <c r="H724" s="2"/>
    </row>
    <row r="725" spans="8:8" ht="12.75">
      <c r="H725" s="2"/>
    </row>
    <row r="726" spans="8:8" ht="12.75">
      <c r="H726" s="2"/>
    </row>
    <row r="727" spans="8:8" ht="12.75">
      <c r="H727" s="2"/>
    </row>
    <row r="728" spans="8:8" ht="12.75">
      <c r="H728" s="2"/>
    </row>
    <row r="729" spans="8:8" ht="12.75">
      <c r="H729" s="2"/>
    </row>
    <row r="730" spans="8:8" ht="12.75">
      <c r="H730" s="2"/>
    </row>
    <row r="731" spans="8:8" ht="12.75">
      <c r="H731" s="2"/>
    </row>
    <row r="732" spans="8:8" ht="12.75">
      <c r="H732" s="2"/>
    </row>
    <row r="733" spans="8:8" ht="12.75">
      <c r="H733" s="2"/>
    </row>
    <row r="734" spans="8:8" ht="12.75">
      <c r="H734" s="2"/>
    </row>
    <row r="735" spans="8:8" ht="12.75">
      <c r="H735" s="2"/>
    </row>
    <row r="736" spans="8:8" ht="12.75">
      <c r="H736" s="2"/>
    </row>
    <row r="737" spans="8:8" ht="12.75">
      <c r="H737" s="2"/>
    </row>
    <row r="738" spans="8:8" ht="12.75">
      <c r="H738" s="2"/>
    </row>
    <row r="739" spans="8:8" ht="12.75">
      <c r="H739" s="2"/>
    </row>
    <row r="740" spans="8:8" ht="12.75">
      <c r="H740" s="2"/>
    </row>
    <row r="741" spans="8:8" ht="12.75">
      <c r="H741" s="2"/>
    </row>
    <row r="742" spans="8:8" ht="12.75">
      <c r="H742" s="2"/>
    </row>
    <row r="743" spans="8:8" ht="12.75">
      <c r="H743" s="2"/>
    </row>
    <row r="744" spans="8:8" ht="12.75">
      <c r="H744" s="2"/>
    </row>
    <row r="745" spans="8:8" ht="12.75">
      <c r="H745" s="2"/>
    </row>
    <row r="746" spans="8:8" ht="12.75">
      <c r="H746" s="2"/>
    </row>
    <row r="747" spans="8:8" ht="12.75">
      <c r="H747" s="2"/>
    </row>
    <row r="748" spans="8:8" ht="12.75">
      <c r="H748" s="2"/>
    </row>
    <row r="749" spans="8:8" ht="12.75">
      <c r="H749" s="2"/>
    </row>
    <row r="750" spans="8:8" ht="12.75">
      <c r="H750" s="2"/>
    </row>
    <row r="751" spans="8:8" ht="12.75">
      <c r="H751" s="2"/>
    </row>
    <row r="752" spans="8:8" ht="12.75">
      <c r="H752" s="2"/>
    </row>
    <row r="753" spans="8:8" ht="12.75">
      <c r="H753" s="2"/>
    </row>
    <row r="754" spans="8:8" ht="12.75">
      <c r="H754" s="2"/>
    </row>
    <row r="755" spans="8:8" ht="12.75">
      <c r="H755" s="2"/>
    </row>
    <row r="756" spans="8:8" ht="12.75">
      <c r="H756" s="2"/>
    </row>
    <row r="757" spans="8:8" ht="12.75">
      <c r="H757" s="2"/>
    </row>
    <row r="758" spans="8:8" ht="12.75">
      <c r="H758" s="2"/>
    </row>
    <row r="759" spans="8:8" ht="12.75">
      <c r="H759" s="2"/>
    </row>
    <row r="760" spans="8:8" ht="12.75">
      <c r="H760" s="2"/>
    </row>
    <row r="761" spans="8:8" ht="12.75">
      <c r="H761" s="2"/>
    </row>
    <row r="762" spans="8:8" ht="12.75">
      <c r="H762" s="2"/>
    </row>
    <row r="763" spans="8:8" ht="12.75">
      <c r="H763" s="2"/>
    </row>
    <row r="764" spans="8:8" ht="12.75">
      <c r="H764" s="2"/>
    </row>
    <row r="765" spans="8:8" ht="12.75">
      <c r="H765" s="2"/>
    </row>
    <row r="766" spans="8:8" ht="12.75">
      <c r="H766" s="2"/>
    </row>
    <row r="767" spans="8:8" ht="12.75">
      <c r="H767" s="2"/>
    </row>
    <row r="768" spans="8:8" ht="12.75">
      <c r="H768" s="2"/>
    </row>
    <row r="769" spans="8:8" ht="12.75">
      <c r="H769" s="2"/>
    </row>
    <row r="770" spans="8:8" ht="12.75">
      <c r="H770" s="2"/>
    </row>
    <row r="771" spans="8:8" ht="12.75">
      <c r="H771" s="2"/>
    </row>
    <row r="772" spans="8:8" ht="12.75">
      <c r="H772" s="2"/>
    </row>
    <row r="773" spans="8:8" ht="12.75">
      <c r="H773" s="2"/>
    </row>
    <row r="774" spans="8:8" ht="12.75">
      <c r="H774" s="2"/>
    </row>
    <row r="775" spans="8:8" ht="12.75">
      <c r="H775" s="2"/>
    </row>
    <row r="776" spans="8:8" ht="12.75">
      <c r="H776" s="2"/>
    </row>
    <row r="777" spans="8:8" ht="12.75">
      <c r="H777" s="2"/>
    </row>
    <row r="778" spans="8:8" ht="12.75">
      <c r="H778" s="2"/>
    </row>
    <row r="779" spans="8:8" ht="12.75">
      <c r="H779" s="2"/>
    </row>
    <row r="780" spans="8:8" ht="12.75">
      <c r="H780" s="2"/>
    </row>
    <row r="781" spans="8:8" ht="12.75">
      <c r="H781" s="2"/>
    </row>
    <row r="782" spans="8:8" ht="12.75">
      <c r="H782" s="2"/>
    </row>
    <row r="783" spans="8:8" ht="12.75">
      <c r="H783" s="2"/>
    </row>
    <row r="784" spans="8:8" ht="12.75">
      <c r="H784" s="2"/>
    </row>
    <row r="785" spans="8:8" ht="12.75">
      <c r="H785" s="2"/>
    </row>
    <row r="786" spans="8:8" ht="12.75">
      <c r="H786" s="2"/>
    </row>
    <row r="787" spans="8:8" ht="12.75">
      <c r="H787" s="2"/>
    </row>
    <row r="788" spans="8:8" ht="12.75">
      <c r="H788" s="2"/>
    </row>
    <row r="789" spans="8:8" ht="12.75">
      <c r="H789" s="2"/>
    </row>
    <row r="790" spans="8:8" ht="12.75">
      <c r="H790" s="2"/>
    </row>
    <row r="791" spans="8:8" ht="12.75">
      <c r="H791" s="2"/>
    </row>
    <row r="792" spans="8:8" ht="12.75">
      <c r="H792" s="2"/>
    </row>
    <row r="793" spans="8:8" ht="12.75">
      <c r="H793" s="2"/>
    </row>
    <row r="794" spans="8:8" ht="12.75">
      <c r="H794" s="2"/>
    </row>
    <row r="795" spans="8:8" ht="12.75">
      <c r="H795" s="2"/>
    </row>
    <row r="796" spans="8:8" ht="12.75">
      <c r="H796" s="2"/>
    </row>
    <row r="797" spans="8:8" ht="12.75">
      <c r="H797" s="2"/>
    </row>
    <row r="798" spans="8:8" ht="12.75">
      <c r="H798" s="2"/>
    </row>
    <row r="799" spans="8:8" ht="12.75">
      <c r="H799" s="2"/>
    </row>
    <row r="800" spans="8:8" ht="12.75">
      <c r="H800" s="2"/>
    </row>
    <row r="801" spans="8:8" ht="12.75">
      <c r="H801" s="2"/>
    </row>
    <row r="802" spans="8:8" ht="12.75">
      <c r="H802" s="2"/>
    </row>
    <row r="803" spans="8:8" ht="12.75">
      <c r="H803" s="2"/>
    </row>
    <row r="804" spans="8:8" ht="12.75">
      <c r="H804" s="2"/>
    </row>
    <row r="805" spans="8:8" ht="12.75">
      <c r="H805" s="2"/>
    </row>
    <row r="806" spans="8:8" ht="12.75">
      <c r="H806" s="2"/>
    </row>
    <row r="807" spans="8:8" ht="12.75">
      <c r="H807" s="2"/>
    </row>
    <row r="808" spans="8:8" ht="12.75">
      <c r="H808" s="2"/>
    </row>
    <row r="809" spans="8:8" ht="12.75">
      <c r="H809" s="2"/>
    </row>
    <row r="810" spans="8:8" ht="12.75">
      <c r="H810" s="2"/>
    </row>
    <row r="811" spans="8:8" ht="12.75">
      <c r="H811" s="2"/>
    </row>
    <row r="812" spans="8:8" ht="12.75">
      <c r="H812" s="2"/>
    </row>
    <row r="813" spans="8:8" ht="12.75">
      <c r="H813" s="2"/>
    </row>
    <row r="814" spans="8:8" ht="12.75">
      <c r="H814" s="2"/>
    </row>
    <row r="815" spans="8:8" ht="12.75">
      <c r="H815" s="2"/>
    </row>
    <row r="816" spans="8:8" ht="12.75">
      <c r="H816" s="2"/>
    </row>
    <row r="817" spans="8:8" ht="12.75">
      <c r="H817" s="2"/>
    </row>
    <row r="818" spans="8:8" ht="12.75">
      <c r="H818" s="2"/>
    </row>
    <row r="819" spans="8:8" ht="12.75">
      <c r="H819" s="2"/>
    </row>
    <row r="820" spans="8:8" ht="12.75">
      <c r="H820" s="2"/>
    </row>
    <row r="821" spans="8:8" ht="12.75">
      <c r="H821" s="2"/>
    </row>
    <row r="822" spans="8:8" ht="12.75">
      <c r="H822" s="2"/>
    </row>
    <row r="823" spans="8:8" ht="12.75">
      <c r="H823" s="2"/>
    </row>
    <row r="824" spans="8:8" ht="12.75">
      <c r="H824" s="2"/>
    </row>
    <row r="825" spans="8:8" ht="12.75">
      <c r="H825" s="2"/>
    </row>
    <row r="826" spans="8:8" ht="12.75">
      <c r="H826" s="2"/>
    </row>
    <row r="827" spans="8:8" ht="12.75">
      <c r="H827" s="2"/>
    </row>
    <row r="828" spans="8:8" ht="12.75">
      <c r="H828" s="2"/>
    </row>
    <row r="829" spans="8:8" ht="12.75">
      <c r="H829" s="2"/>
    </row>
    <row r="830" spans="8:8" ht="12.75">
      <c r="H830" s="2"/>
    </row>
    <row r="831" spans="8:8" ht="12.75">
      <c r="H831" s="2"/>
    </row>
    <row r="832" spans="8:8" ht="12.75">
      <c r="H832" s="2"/>
    </row>
    <row r="833" spans="8:8" ht="12.75">
      <c r="H833" s="2"/>
    </row>
    <row r="834" spans="8:8" ht="12.75">
      <c r="H834" s="2"/>
    </row>
    <row r="835" spans="8:8" ht="12.75">
      <c r="H835" s="2"/>
    </row>
    <row r="836" spans="8:8" ht="12.75">
      <c r="H836" s="2"/>
    </row>
    <row r="837" spans="8:8" ht="12.75">
      <c r="H837" s="2"/>
    </row>
    <row r="838" spans="8:8" ht="12.75">
      <c r="H838" s="2"/>
    </row>
    <row r="839" spans="8:8" ht="12.75">
      <c r="H839" s="2"/>
    </row>
    <row r="840" spans="8:8" ht="12.75">
      <c r="H840" s="2"/>
    </row>
    <row r="841" spans="8:8" ht="12.75">
      <c r="H841" s="2"/>
    </row>
    <row r="842" spans="8:8" ht="12.75">
      <c r="H842" s="2"/>
    </row>
    <row r="843" spans="8:8" ht="12.75">
      <c r="H843" s="2"/>
    </row>
    <row r="844" spans="8:8" ht="12.75">
      <c r="H844" s="2"/>
    </row>
    <row r="845" spans="8:8" ht="12.75">
      <c r="H845" s="2"/>
    </row>
    <row r="846" spans="8:8" ht="12.75">
      <c r="H846" s="2"/>
    </row>
    <row r="847" spans="8:8" ht="12.75">
      <c r="H847" s="2"/>
    </row>
    <row r="848" spans="8:8" ht="12.75">
      <c r="H848" s="2"/>
    </row>
    <row r="849" spans="8:8" ht="12.75">
      <c r="H849" s="2"/>
    </row>
    <row r="850" spans="8:8" ht="12.75">
      <c r="H850" s="2"/>
    </row>
    <row r="851" spans="8:8" ht="12.75">
      <c r="H851" s="2"/>
    </row>
    <row r="852" spans="8:8" ht="12.75">
      <c r="H852" s="2"/>
    </row>
    <row r="853" spans="8:8" ht="12.75">
      <c r="H853" s="2"/>
    </row>
    <row r="854" spans="8:8" ht="12.75">
      <c r="H854" s="2"/>
    </row>
    <row r="855" spans="8:8" ht="12.75">
      <c r="H855" s="2"/>
    </row>
    <row r="856" spans="8:8" ht="12.75">
      <c r="H856" s="2"/>
    </row>
    <row r="857" spans="8:8" ht="12.75">
      <c r="H857" s="2"/>
    </row>
    <row r="858" spans="8:8" ht="12.75">
      <c r="H858" s="2"/>
    </row>
    <row r="859" spans="8:8" ht="12.75">
      <c r="H859" s="2"/>
    </row>
    <row r="860" spans="8:8" ht="12.75">
      <c r="H860" s="2"/>
    </row>
    <row r="861" spans="8:8" ht="12.75">
      <c r="H861" s="2"/>
    </row>
    <row r="862" spans="8:8" ht="12.75">
      <c r="H862" s="2"/>
    </row>
    <row r="863" spans="8:8" ht="12.75">
      <c r="H863" s="2"/>
    </row>
    <row r="864" spans="8:8" ht="12.75">
      <c r="H864" s="2"/>
    </row>
    <row r="865" spans="8:8" ht="12.75">
      <c r="H865" s="2"/>
    </row>
    <row r="866" spans="8:8" ht="12.75">
      <c r="H866" s="2"/>
    </row>
    <row r="867" spans="8:8" ht="12.75">
      <c r="H867" s="2"/>
    </row>
    <row r="868" spans="8:8" ht="12.75">
      <c r="H868" s="2"/>
    </row>
    <row r="869" spans="8:8" ht="12.75">
      <c r="H869" s="2"/>
    </row>
    <row r="870" spans="8:8" ht="12.75">
      <c r="H870" s="2"/>
    </row>
    <row r="871" spans="8:8" ht="12.75">
      <c r="H871" s="2"/>
    </row>
    <row r="872" spans="8:8" ht="12.75">
      <c r="H872" s="2"/>
    </row>
    <row r="873" spans="8:8" ht="12.75">
      <c r="H873" s="2"/>
    </row>
    <row r="874" spans="8:8" ht="12.75">
      <c r="H874" s="2"/>
    </row>
    <row r="875" spans="8:8" ht="12.75">
      <c r="H875" s="2"/>
    </row>
    <row r="876" spans="8:8" ht="12.75">
      <c r="H876" s="2"/>
    </row>
    <row r="877" spans="8:8" ht="12.75">
      <c r="H877" s="2"/>
    </row>
    <row r="878" spans="8:8" ht="12.75">
      <c r="H878" s="2"/>
    </row>
    <row r="879" spans="8:8" ht="12.75">
      <c r="H879" s="2"/>
    </row>
    <row r="880" spans="8:8" ht="12.75">
      <c r="H880" s="2"/>
    </row>
    <row r="881" spans="8:8" ht="12.75">
      <c r="H881" s="2"/>
    </row>
    <row r="882" spans="8:8" ht="12.75">
      <c r="H882" s="2"/>
    </row>
    <row r="883" spans="8:8" ht="12.75">
      <c r="H883" s="2"/>
    </row>
    <row r="884" spans="8:8" ht="12.75">
      <c r="H884" s="2"/>
    </row>
    <row r="885" spans="8:8" ht="12.75">
      <c r="H885" s="2"/>
    </row>
    <row r="886" spans="8:8" ht="12.75">
      <c r="H886" s="2"/>
    </row>
    <row r="887" spans="8:8" ht="12.75">
      <c r="H887" s="2"/>
    </row>
    <row r="888" spans="8:8" ht="12.75">
      <c r="H888" s="2"/>
    </row>
    <row r="889" spans="8:8" ht="12.75">
      <c r="H889" s="2"/>
    </row>
    <row r="890" spans="8:8" ht="12.75">
      <c r="H890" s="2"/>
    </row>
    <row r="891" spans="8:8" ht="12.75">
      <c r="H891" s="2"/>
    </row>
    <row r="892" spans="8:8" ht="12.75">
      <c r="H892" s="2"/>
    </row>
    <row r="893" spans="8:8" ht="12.75">
      <c r="H893" s="2"/>
    </row>
    <row r="894" spans="8:8" ht="12.75">
      <c r="H894" s="2"/>
    </row>
    <row r="895" spans="8:8" ht="12.75">
      <c r="H895" s="2"/>
    </row>
    <row r="896" spans="8:8" ht="12.75">
      <c r="H896" s="2"/>
    </row>
    <row r="897" spans="8:8" ht="12.75">
      <c r="H897" s="2"/>
    </row>
    <row r="898" spans="8:8" ht="12.75">
      <c r="H898" s="2"/>
    </row>
    <row r="899" spans="8:8" ht="12.75">
      <c r="H899" s="2"/>
    </row>
    <row r="900" spans="8:8" ht="12.75">
      <c r="H900" s="2"/>
    </row>
    <row r="901" spans="8:8" ht="12.75">
      <c r="H901" s="2"/>
    </row>
    <row r="902" spans="8:8" ht="12.75">
      <c r="H902" s="2"/>
    </row>
    <row r="903" spans="8:8" ht="12.75">
      <c r="H903" s="2"/>
    </row>
    <row r="904" spans="8:8" ht="12.75">
      <c r="H904" s="2"/>
    </row>
    <row r="905" spans="8:8" ht="12.75">
      <c r="H905" s="2"/>
    </row>
    <row r="906" spans="8:8" ht="12.75">
      <c r="H906" s="2"/>
    </row>
    <row r="907" spans="8:8" ht="12.75">
      <c r="H907" s="2"/>
    </row>
    <row r="908" spans="8:8" ht="12.75">
      <c r="H908" s="2"/>
    </row>
    <row r="909" spans="8:8" ht="12.75">
      <c r="H909" s="2"/>
    </row>
    <row r="910" spans="8:8" ht="12.75">
      <c r="H910" s="2"/>
    </row>
    <row r="911" spans="8:8" ht="12.75">
      <c r="H911" s="2"/>
    </row>
    <row r="912" spans="8:8" ht="12.75">
      <c r="H912" s="2"/>
    </row>
    <row r="913" spans="8:8" ht="12.75">
      <c r="H913" s="2"/>
    </row>
    <row r="914" spans="8:8" ht="12.75">
      <c r="H914" s="2"/>
    </row>
    <row r="915" spans="8:8" ht="12.75">
      <c r="H915" s="2"/>
    </row>
    <row r="916" spans="8:8" ht="12.75">
      <c r="H916" s="2"/>
    </row>
    <row r="917" spans="8:8" ht="12.75">
      <c r="H917" s="2"/>
    </row>
    <row r="918" spans="8:8" ht="12.75">
      <c r="H918" s="2"/>
    </row>
    <row r="919" spans="8:8" ht="12.75">
      <c r="H919" s="2"/>
    </row>
    <row r="920" spans="8:8" ht="12.75">
      <c r="H920" s="2"/>
    </row>
    <row r="921" spans="8:8" ht="12.75">
      <c r="H921" s="2"/>
    </row>
    <row r="922" spans="8:8" ht="12.75">
      <c r="H922" s="2"/>
    </row>
    <row r="923" spans="8:8" ht="12.75">
      <c r="H923" s="2"/>
    </row>
    <row r="924" spans="8:8" ht="12.75">
      <c r="H924" s="2"/>
    </row>
    <row r="925" spans="8:8" ht="12.75">
      <c r="H925" s="2"/>
    </row>
    <row r="926" spans="8:8" ht="12.75">
      <c r="H926" s="2"/>
    </row>
    <row r="927" spans="8:8" ht="12.75">
      <c r="H927" s="2"/>
    </row>
    <row r="928" spans="8:8" ht="12.75">
      <c r="H928" s="2"/>
    </row>
    <row r="929" spans="8:8" ht="12.75">
      <c r="H929" s="2"/>
    </row>
    <row r="930" spans="8:8" ht="12.75">
      <c r="H930" s="2"/>
    </row>
    <row r="931" spans="8:8" ht="12.75">
      <c r="H931" s="2"/>
    </row>
    <row r="932" spans="8:8" ht="12.75">
      <c r="H932" s="2"/>
    </row>
    <row r="933" spans="8:8" ht="12.75">
      <c r="H933" s="2"/>
    </row>
    <row r="934" spans="8:8" ht="12.75">
      <c r="H934" s="2"/>
    </row>
    <row r="935" spans="8:8" ht="12.75">
      <c r="H935" s="2"/>
    </row>
    <row r="936" spans="8:8" ht="12.75">
      <c r="H936" s="2"/>
    </row>
    <row r="937" spans="8:8" ht="12.75">
      <c r="H937" s="2"/>
    </row>
    <row r="938" spans="8:8" ht="12.75">
      <c r="H938" s="2"/>
    </row>
    <row r="939" spans="8:8" ht="12.75">
      <c r="H939" s="2"/>
    </row>
    <row r="940" spans="8:8" ht="12.75">
      <c r="H940" s="2"/>
    </row>
    <row r="941" spans="8:8" ht="12.75">
      <c r="H941" s="2"/>
    </row>
    <row r="942" spans="8:8" ht="12.75">
      <c r="H942" s="2"/>
    </row>
    <row r="943" spans="8:8" ht="12.75">
      <c r="H943" s="2"/>
    </row>
    <row r="944" spans="8:8" ht="12.75">
      <c r="H944" s="2"/>
    </row>
    <row r="945" spans="8:8" ht="12.75">
      <c r="H945" s="2"/>
    </row>
    <row r="946" spans="8:8" ht="12.75">
      <c r="H946" s="2"/>
    </row>
    <row r="947" spans="8:8" ht="12.75">
      <c r="H947" s="2"/>
    </row>
    <row r="948" spans="8:8" ht="12.75">
      <c r="H948" s="2"/>
    </row>
    <row r="949" spans="8:8" ht="12.75">
      <c r="H949" s="2"/>
    </row>
    <row r="950" spans="8:8" ht="12.75">
      <c r="H950" s="2"/>
    </row>
    <row r="951" spans="8:8" ht="12.75">
      <c r="H951" s="2"/>
    </row>
    <row r="952" spans="8:8" ht="12.75">
      <c r="H952" s="2"/>
    </row>
    <row r="953" spans="8:8" ht="12.75">
      <c r="H953" s="2"/>
    </row>
    <row r="954" spans="8:8" ht="12.75">
      <c r="H954" s="2"/>
    </row>
    <row r="955" spans="8:8" ht="12.75">
      <c r="H955" s="2"/>
    </row>
    <row r="956" spans="8:8" ht="12.75">
      <c r="H956" s="2"/>
    </row>
    <row r="957" spans="8:8" ht="12.75">
      <c r="H957" s="2"/>
    </row>
    <row r="958" spans="8:8" ht="12.75">
      <c r="H958" s="2"/>
    </row>
    <row r="959" spans="8:8" ht="12.75">
      <c r="H959" s="2"/>
    </row>
    <row r="960" spans="8:8" ht="12.75">
      <c r="H960" s="2"/>
    </row>
    <row r="961" spans="8:8" ht="12.75">
      <c r="H961" s="2"/>
    </row>
    <row r="962" spans="8:8" ht="12.75">
      <c r="H962" s="2"/>
    </row>
    <row r="963" spans="8:8" ht="12.75">
      <c r="H963" s="2"/>
    </row>
    <row r="964" spans="8:8" ht="12.75">
      <c r="H964" s="2"/>
    </row>
    <row r="965" spans="8:8" ht="12.75">
      <c r="H965" s="2"/>
    </row>
    <row r="966" spans="8:8" ht="12.75">
      <c r="H966" s="2"/>
    </row>
    <row r="967" spans="8:8" ht="12.75">
      <c r="H967" s="2"/>
    </row>
    <row r="968" spans="8:8" ht="12.75">
      <c r="H968" s="2"/>
    </row>
    <row r="969" spans="8:8" ht="12.75">
      <c r="H969" s="2"/>
    </row>
    <row r="970" spans="8:8" ht="12.75">
      <c r="H970" s="2"/>
    </row>
    <row r="971" spans="8:8" ht="12.75">
      <c r="H971" s="2"/>
    </row>
    <row r="972" spans="8:8" ht="12.75">
      <c r="H972" s="2"/>
    </row>
    <row r="973" spans="8:8" ht="12.75">
      <c r="H973" s="2"/>
    </row>
    <row r="974" spans="8:8" ht="12.75">
      <c r="H974" s="2"/>
    </row>
    <row r="975" spans="8:8" ht="12.75">
      <c r="H975" s="2"/>
    </row>
    <row r="976" spans="8:8" ht="12.75">
      <c r="H976" s="2"/>
    </row>
    <row r="977" spans="8:8" ht="12.75">
      <c r="H977" s="2"/>
    </row>
    <row r="978" spans="8:8" ht="12.75">
      <c r="H978" s="2"/>
    </row>
    <row r="979" spans="8:8" ht="12.75">
      <c r="H979" s="2"/>
    </row>
    <row r="980" spans="8:8" ht="12.75">
      <c r="H980" s="2"/>
    </row>
    <row r="981" spans="8:8" ht="12.75">
      <c r="H981" s="2"/>
    </row>
    <row r="982" spans="8:8" ht="12.75">
      <c r="H982" s="2"/>
    </row>
    <row r="983" spans="8:8" ht="12.75">
      <c r="H983" s="2"/>
    </row>
    <row r="984" spans="8:8" ht="12.75">
      <c r="H984" s="2"/>
    </row>
    <row r="985" spans="8:8" ht="12.75">
      <c r="H985" s="2"/>
    </row>
    <row r="986" spans="8:8" ht="12.75">
      <c r="H986" s="2"/>
    </row>
    <row r="987" spans="8:8" ht="12.75">
      <c r="H987" s="2"/>
    </row>
    <row r="988" spans="8:8" ht="12.75">
      <c r="H988" s="2"/>
    </row>
    <row r="989" spans="8:8" ht="12.75">
      <c r="H989" s="2"/>
    </row>
    <row r="990" spans="8:8" ht="12.75">
      <c r="H990" s="2"/>
    </row>
    <row r="991" spans="8:8" ht="12.75">
      <c r="H991" s="2"/>
    </row>
    <row r="992" spans="8:8" ht="12.75">
      <c r="H992" s="2"/>
    </row>
    <row r="993" spans="8:8" ht="12.75">
      <c r="H993" s="2"/>
    </row>
    <row r="994" spans="8:8" ht="12.75">
      <c r="H994" s="2"/>
    </row>
    <row r="995" spans="8:8" ht="12.75">
      <c r="H995" s="2"/>
    </row>
    <row r="996" spans="8:8" ht="12.75">
      <c r="H996" s="2"/>
    </row>
    <row r="997" spans="8:8" ht="12.75">
      <c r="H997" s="2"/>
    </row>
    <row r="998" spans="8:8" ht="12.75">
      <c r="H998" s="2"/>
    </row>
    <row r="999" spans="8:8" ht="12.75">
      <c r="H999" s="2"/>
    </row>
    <row r="1000" spans="8:8" ht="12.75">
      <c r="H1000" s="2"/>
    </row>
    <row r="1001" spans="8:8" ht="12.75">
      <c r="H1001" s="2"/>
    </row>
    <row r="1002" spans="8:8" ht="12.75">
      <c r="H1002" s="2"/>
    </row>
    <row r="1003" spans="8:8" ht="12.75">
      <c r="H1003" s="2"/>
    </row>
    <row r="1004" spans="8:8" ht="12.75">
      <c r="H1004" s="2"/>
    </row>
    <row r="1005" spans="8:8" ht="12.75">
      <c r="H1005" s="2"/>
    </row>
    <row r="1006" spans="8:8" ht="12.75">
      <c r="H1006" s="2"/>
    </row>
    <row r="1007" spans="8:8" ht="12.75">
      <c r="H1007" s="2"/>
    </row>
    <row r="1008" spans="8:8" ht="12.75">
      <c r="H1008" s="2"/>
    </row>
    <row r="1009" spans="8:8" ht="12.75">
      <c r="H1009" s="2"/>
    </row>
    <row r="1010" spans="8:8" ht="12.75">
      <c r="H1010" s="2"/>
    </row>
    <row r="1011" spans="8:8" ht="12.75">
      <c r="H1011" s="2"/>
    </row>
    <row r="1012" spans="8:8" ht="12.75">
      <c r="H1012" s="2"/>
    </row>
    <row r="1013" spans="8:8" ht="12.75">
      <c r="H1013" s="2"/>
    </row>
    <row r="1014" spans="8:8" ht="12.75">
      <c r="H1014" s="2"/>
    </row>
    <row r="1015" spans="8:8" ht="12.75">
      <c r="H1015" s="2"/>
    </row>
  </sheetData>
  <mergeCells count="14">
    <mergeCell ref="B36:C36"/>
    <mergeCell ref="A39:A40"/>
    <mergeCell ref="B39:C39"/>
    <mergeCell ref="B40:C40"/>
    <mergeCell ref="A31:A32"/>
    <mergeCell ref="B31:C31"/>
    <mergeCell ref="B32:C32"/>
    <mergeCell ref="B33:C33"/>
    <mergeCell ref="B34:C34"/>
    <mergeCell ref="A33:A35"/>
    <mergeCell ref="B38:C38"/>
    <mergeCell ref="A36:A38"/>
    <mergeCell ref="B37:C37"/>
    <mergeCell ref="B35:C35"/>
  </mergeCells>
  <conditionalFormatting sqref="A44:CI47">
    <cfRule type="cellIs" dxfId="7" priority="7" operator="equal">
      <formula>1</formula>
    </cfRule>
  </conditionalFormatting>
  <conditionalFormatting sqref="A44:CI47">
    <cfRule type="cellIs" dxfId="6" priority="8" operator="equal">
      <formula>2</formula>
    </cfRule>
  </conditionalFormatting>
  <conditionalFormatting sqref="A44:CI47">
    <cfRule type="cellIs" dxfId="5" priority="6" operator="equal">
      <formula>3</formula>
    </cfRule>
  </conditionalFormatting>
  <conditionalFormatting sqref="A44:CI47">
    <cfRule type="cellIs" dxfId="4" priority="5" operator="equal">
      <formula>4</formula>
    </cfRule>
  </conditionalFormatting>
  <conditionalFormatting sqref="A48:CI48">
    <cfRule type="cellIs" dxfId="3" priority="3" operator="equal">
      <formula>1</formula>
    </cfRule>
  </conditionalFormatting>
  <conditionalFormatting sqref="A48:CI48">
    <cfRule type="cellIs" dxfId="2" priority="4" operator="equal">
      <formula>2</formula>
    </cfRule>
  </conditionalFormatting>
  <conditionalFormatting sqref="A48:CI48">
    <cfRule type="cellIs" dxfId="1" priority="2" operator="equal">
      <formula>3</formula>
    </cfRule>
  </conditionalFormatting>
  <conditionalFormatting sqref="A48:CI48">
    <cfRule type="cellIs" dxfId="0" priority="1" operator="equal">
      <formula>4</formula>
    </cfRule>
  </conditionalFormatting>
  <dataValidations count="1">
    <dataValidation allowBlank="1" showInputMessage="1" showErrorMessage="1" sqref="A45" xr:uid="{1ABFAC5D-9617-431C-8EB6-E0E646FAA180}"/>
  </dataValidations>
  <pageMargins left="0" right="0" top="0" bottom="0" header="0" footer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5C2A5-7074-482D-8D9B-B264B66EB2AF}">
  <dimension ref="A1:JP40"/>
  <sheetViews>
    <sheetView showGridLines="0" workbookViewId="0">
      <selection activeCell="H18" sqref="H18"/>
    </sheetView>
  </sheetViews>
  <sheetFormatPr defaultColWidth="18.85546875" defaultRowHeight="12.75"/>
  <cols>
    <col min="1" max="1" width="11.28515625" style="121" bestFit="1" customWidth="1"/>
    <col min="2" max="2" width="8" style="121" bestFit="1" customWidth="1"/>
    <col min="3" max="3" width="9.5703125" style="121" bestFit="1" customWidth="1"/>
    <col min="4" max="4" width="28.140625" style="121" customWidth="1"/>
    <col min="5" max="5" width="18.85546875" style="171"/>
    <col min="6" max="16384" width="18.85546875" style="121"/>
  </cols>
  <sheetData>
    <row r="1" spans="1:276">
      <c r="A1" s="226" t="s">
        <v>193</v>
      </c>
      <c r="B1" s="227"/>
      <c r="C1" s="157"/>
      <c r="D1" s="157"/>
    </row>
    <row r="2" spans="1:276" s="164" customFormat="1">
      <c r="A2" s="162" t="s">
        <v>163</v>
      </c>
      <c r="B2" s="162" t="s">
        <v>165</v>
      </c>
      <c r="C2" s="162" t="s">
        <v>167</v>
      </c>
      <c r="D2" s="162" t="s">
        <v>1</v>
      </c>
      <c r="E2" s="172" t="s">
        <v>194</v>
      </c>
      <c r="F2" s="163" t="str">
        <f>F11</f>
        <v>2025_08_Ago</v>
      </c>
      <c r="G2" s="163" t="str">
        <f>G11</f>
        <v>2025_09_Sep</v>
      </c>
      <c r="H2" s="163" t="str">
        <f>H11</f>
        <v>2025_10_Oct</v>
      </c>
      <c r="I2" s="163" t="str">
        <f>I11</f>
        <v>2025_11_Nov</v>
      </c>
      <c r="J2" s="163" t="str">
        <f>J11</f>
        <v>2025_12_Dic</v>
      </c>
      <c r="K2" s="163" t="str">
        <f>K11</f>
        <v>2026_01_Ene</v>
      </c>
      <c r="L2" s="163" t="str">
        <f>L11</f>
        <v>2026_02_Feb</v>
      </c>
      <c r="M2" s="163" t="str">
        <f>M11</f>
        <v>2026_03_Mar</v>
      </c>
      <c r="N2" s="163" t="str">
        <f>N11</f>
        <v>2026_04_Abr</v>
      </c>
      <c r="O2" s="163" t="str">
        <f>O11</f>
        <v>2026_05_May</v>
      </c>
      <c r="P2" s="163" t="str">
        <f>P11</f>
        <v>2026_06_Jun</v>
      </c>
      <c r="Q2" s="163" t="str">
        <f>Q11</f>
        <v>2026_07_Jul</v>
      </c>
      <c r="R2" s="163" t="str">
        <f>R11</f>
        <v>2026_08_Ago</v>
      </c>
      <c r="S2" s="163" t="str">
        <f>S11</f>
        <v>2026_09_Sep</v>
      </c>
      <c r="T2" s="163">
        <f>T11</f>
        <v>0</v>
      </c>
      <c r="U2" s="163">
        <f>U11</f>
        <v>0</v>
      </c>
      <c r="V2" s="163">
        <f>V11</f>
        <v>0</v>
      </c>
      <c r="W2" s="163">
        <f>W11</f>
        <v>0</v>
      </c>
      <c r="X2" s="163">
        <f>X11</f>
        <v>0</v>
      </c>
      <c r="Y2" s="163">
        <f>Y11</f>
        <v>0</v>
      </c>
      <c r="Z2" s="163">
        <f>Z11</f>
        <v>0</v>
      </c>
      <c r="AA2" s="163">
        <f>AA11</f>
        <v>0</v>
      </c>
      <c r="AB2" s="163">
        <f>AB11</f>
        <v>0</v>
      </c>
      <c r="AC2" s="163">
        <f>AC11</f>
        <v>0</v>
      </c>
      <c r="AD2" s="163">
        <f>AD11</f>
        <v>0</v>
      </c>
      <c r="AE2" s="163">
        <f>AE11</f>
        <v>0</v>
      </c>
      <c r="AF2" s="163">
        <f>AF11</f>
        <v>0</v>
      </c>
      <c r="AG2" s="163">
        <f>AG11</f>
        <v>0</v>
      </c>
      <c r="AH2" s="163">
        <f>AH11</f>
        <v>0</v>
      </c>
      <c r="AI2" s="163">
        <f>AI11</f>
        <v>0</v>
      </c>
      <c r="AJ2" s="163">
        <f>AJ11</f>
        <v>0</v>
      </c>
      <c r="AK2" s="163">
        <f>AK11</f>
        <v>0</v>
      </c>
      <c r="AL2" s="163">
        <f>AL11</f>
        <v>0</v>
      </c>
      <c r="AM2" s="163">
        <f>AM11</f>
        <v>0</v>
      </c>
      <c r="AN2" s="163">
        <f>AN11</f>
        <v>0</v>
      </c>
      <c r="AO2" s="163">
        <f>AO11</f>
        <v>0</v>
      </c>
      <c r="AP2" s="163">
        <f>AP11</f>
        <v>0</v>
      </c>
      <c r="AQ2" s="163">
        <f>AQ11</f>
        <v>0</v>
      </c>
      <c r="AR2" s="163">
        <f>AR11</f>
        <v>0</v>
      </c>
      <c r="AS2" s="163">
        <f>AS11</f>
        <v>0</v>
      </c>
      <c r="AT2" s="163">
        <f>AT11</f>
        <v>0</v>
      </c>
      <c r="AU2" s="163">
        <f>AU11</f>
        <v>0</v>
      </c>
      <c r="AV2" s="163">
        <f>AV11</f>
        <v>0</v>
      </c>
      <c r="AW2" s="163">
        <f>AW11</f>
        <v>0</v>
      </c>
      <c r="AX2" s="163">
        <f>AX11</f>
        <v>0</v>
      </c>
      <c r="AY2" s="163">
        <f>AY11</f>
        <v>0</v>
      </c>
      <c r="AZ2" s="163">
        <f>AZ11</f>
        <v>0</v>
      </c>
      <c r="BA2" s="163">
        <f>BA11</f>
        <v>0</v>
      </c>
      <c r="BB2" s="163">
        <f>BB11</f>
        <v>0</v>
      </c>
      <c r="BC2" s="163">
        <f>BC11</f>
        <v>0</v>
      </c>
      <c r="BD2" s="163">
        <f>BD11</f>
        <v>0</v>
      </c>
      <c r="BE2" s="163">
        <f>BE11</f>
        <v>0</v>
      </c>
      <c r="BF2" s="163">
        <f>BF11</f>
        <v>0</v>
      </c>
      <c r="BG2" s="163">
        <f>BG11</f>
        <v>0</v>
      </c>
      <c r="BH2" s="163">
        <f>BH11</f>
        <v>0</v>
      </c>
      <c r="BI2" s="163">
        <f>BI11</f>
        <v>0</v>
      </c>
      <c r="BJ2" s="163">
        <f>BJ11</f>
        <v>0</v>
      </c>
      <c r="BK2" s="163">
        <f>BK11</f>
        <v>0</v>
      </c>
      <c r="BL2" s="163">
        <f>BL11</f>
        <v>0</v>
      </c>
      <c r="BM2" s="163">
        <f>BM11</f>
        <v>0</v>
      </c>
      <c r="BN2" s="163">
        <f>BN11</f>
        <v>0</v>
      </c>
      <c r="BO2" s="163">
        <f>BO11</f>
        <v>0</v>
      </c>
      <c r="BP2" s="163">
        <f>BP11</f>
        <v>0</v>
      </c>
      <c r="BQ2" s="163">
        <f>BQ11</f>
        <v>0</v>
      </c>
      <c r="BR2" s="163">
        <f>BR11</f>
        <v>0</v>
      </c>
      <c r="BS2" s="163">
        <f t="shared" ref="BS2:ED2" si="0">BS11</f>
        <v>0</v>
      </c>
      <c r="BT2" s="163">
        <f t="shared" si="0"/>
        <v>0</v>
      </c>
      <c r="BU2" s="163">
        <f t="shared" si="0"/>
        <v>0</v>
      </c>
      <c r="BV2" s="163">
        <f t="shared" si="0"/>
        <v>0</v>
      </c>
      <c r="BW2" s="163">
        <f t="shared" si="0"/>
        <v>0</v>
      </c>
      <c r="BX2" s="163">
        <f t="shared" si="0"/>
        <v>0</v>
      </c>
      <c r="BY2" s="163">
        <f t="shared" si="0"/>
        <v>0</v>
      </c>
      <c r="BZ2" s="163">
        <f t="shared" si="0"/>
        <v>0</v>
      </c>
      <c r="CA2" s="163">
        <f t="shared" si="0"/>
        <v>0</v>
      </c>
      <c r="CB2" s="163">
        <f t="shared" si="0"/>
        <v>0</v>
      </c>
      <c r="CC2" s="163">
        <f t="shared" si="0"/>
        <v>0</v>
      </c>
      <c r="CD2" s="163">
        <f t="shared" si="0"/>
        <v>0</v>
      </c>
      <c r="CE2" s="163">
        <f t="shared" si="0"/>
        <v>0</v>
      </c>
      <c r="CF2" s="163">
        <f t="shared" si="0"/>
        <v>0</v>
      </c>
      <c r="CG2" s="163">
        <f t="shared" si="0"/>
        <v>0</v>
      </c>
      <c r="CH2" s="163">
        <f t="shared" si="0"/>
        <v>0</v>
      </c>
      <c r="CI2" s="163">
        <f t="shared" si="0"/>
        <v>0</v>
      </c>
      <c r="CJ2" s="163">
        <f t="shared" si="0"/>
        <v>0</v>
      </c>
      <c r="CK2" s="163">
        <f t="shared" si="0"/>
        <v>0</v>
      </c>
      <c r="CL2" s="163">
        <f t="shared" si="0"/>
        <v>0</v>
      </c>
      <c r="CM2" s="163">
        <f t="shared" si="0"/>
        <v>0</v>
      </c>
      <c r="CN2" s="163">
        <f t="shared" si="0"/>
        <v>0</v>
      </c>
      <c r="CO2" s="163">
        <f t="shared" si="0"/>
        <v>0</v>
      </c>
      <c r="CP2" s="163">
        <f t="shared" si="0"/>
        <v>0</v>
      </c>
      <c r="CQ2" s="163">
        <f t="shared" si="0"/>
        <v>0</v>
      </c>
      <c r="CR2" s="163">
        <f t="shared" si="0"/>
        <v>0</v>
      </c>
      <c r="CS2" s="163">
        <f t="shared" si="0"/>
        <v>0</v>
      </c>
      <c r="CT2" s="163">
        <f t="shared" si="0"/>
        <v>0</v>
      </c>
      <c r="CU2" s="163">
        <f t="shared" si="0"/>
        <v>0</v>
      </c>
      <c r="CV2" s="163">
        <f t="shared" si="0"/>
        <v>0</v>
      </c>
      <c r="CW2" s="163">
        <f t="shared" si="0"/>
        <v>0</v>
      </c>
      <c r="CX2" s="163">
        <f t="shared" si="0"/>
        <v>0</v>
      </c>
      <c r="CY2" s="163">
        <f t="shared" si="0"/>
        <v>0</v>
      </c>
      <c r="CZ2" s="163">
        <f t="shared" si="0"/>
        <v>0</v>
      </c>
      <c r="DA2" s="163">
        <f t="shared" si="0"/>
        <v>0</v>
      </c>
      <c r="DB2" s="163">
        <f t="shared" si="0"/>
        <v>0</v>
      </c>
      <c r="DC2" s="163">
        <f t="shared" si="0"/>
        <v>0</v>
      </c>
      <c r="DD2" s="163">
        <f t="shared" si="0"/>
        <v>0</v>
      </c>
      <c r="DE2" s="163">
        <f t="shared" si="0"/>
        <v>0</v>
      </c>
      <c r="DF2" s="163">
        <f t="shared" si="0"/>
        <v>0</v>
      </c>
      <c r="DG2" s="163">
        <f t="shared" si="0"/>
        <v>0</v>
      </c>
      <c r="DH2" s="163">
        <f t="shared" si="0"/>
        <v>0</v>
      </c>
      <c r="DI2" s="163">
        <f t="shared" si="0"/>
        <v>0</v>
      </c>
      <c r="DJ2" s="163">
        <f t="shared" si="0"/>
        <v>0</v>
      </c>
      <c r="DK2" s="163">
        <f t="shared" si="0"/>
        <v>0</v>
      </c>
      <c r="DL2" s="163">
        <f t="shared" si="0"/>
        <v>0</v>
      </c>
      <c r="DM2" s="163">
        <f t="shared" si="0"/>
        <v>0</v>
      </c>
      <c r="DN2" s="163">
        <f t="shared" si="0"/>
        <v>0</v>
      </c>
      <c r="DO2" s="163">
        <f t="shared" si="0"/>
        <v>0</v>
      </c>
      <c r="DP2" s="163">
        <f t="shared" si="0"/>
        <v>0</v>
      </c>
      <c r="DQ2" s="163">
        <f t="shared" si="0"/>
        <v>0</v>
      </c>
      <c r="DR2" s="163">
        <f t="shared" si="0"/>
        <v>0</v>
      </c>
      <c r="DS2" s="163">
        <f t="shared" si="0"/>
        <v>0</v>
      </c>
      <c r="DT2" s="163">
        <f t="shared" si="0"/>
        <v>0</v>
      </c>
      <c r="DU2" s="163">
        <f t="shared" si="0"/>
        <v>0</v>
      </c>
      <c r="DV2" s="163">
        <f t="shared" si="0"/>
        <v>0</v>
      </c>
      <c r="DW2" s="163">
        <f t="shared" si="0"/>
        <v>0</v>
      </c>
      <c r="DX2" s="163">
        <f t="shared" si="0"/>
        <v>0</v>
      </c>
      <c r="DY2" s="163">
        <f t="shared" si="0"/>
        <v>0</v>
      </c>
      <c r="DZ2" s="163">
        <f t="shared" si="0"/>
        <v>0</v>
      </c>
      <c r="EA2" s="163">
        <f t="shared" si="0"/>
        <v>0</v>
      </c>
      <c r="EB2" s="163">
        <f t="shared" si="0"/>
        <v>0</v>
      </c>
      <c r="EC2" s="163">
        <f t="shared" si="0"/>
        <v>0</v>
      </c>
      <c r="ED2" s="163">
        <f t="shared" si="0"/>
        <v>0</v>
      </c>
      <c r="EE2" s="163">
        <f t="shared" ref="EE2:GP2" si="1">EE11</f>
        <v>0</v>
      </c>
      <c r="EF2" s="163">
        <f t="shared" si="1"/>
        <v>0</v>
      </c>
      <c r="EG2" s="163">
        <f t="shared" si="1"/>
        <v>0</v>
      </c>
      <c r="EH2" s="163">
        <f t="shared" si="1"/>
        <v>0</v>
      </c>
      <c r="EI2" s="163">
        <f t="shared" si="1"/>
        <v>0</v>
      </c>
      <c r="EJ2" s="163">
        <f t="shared" si="1"/>
        <v>0</v>
      </c>
      <c r="EK2" s="163">
        <f t="shared" si="1"/>
        <v>0</v>
      </c>
      <c r="EL2" s="163">
        <f t="shared" si="1"/>
        <v>0</v>
      </c>
      <c r="EM2" s="163">
        <f t="shared" si="1"/>
        <v>0</v>
      </c>
      <c r="EN2" s="163">
        <f t="shared" si="1"/>
        <v>0</v>
      </c>
      <c r="EO2" s="163">
        <f t="shared" si="1"/>
        <v>0</v>
      </c>
      <c r="EP2" s="163">
        <f t="shared" si="1"/>
        <v>0</v>
      </c>
      <c r="EQ2" s="163">
        <f t="shared" si="1"/>
        <v>0</v>
      </c>
      <c r="ER2" s="163">
        <f t="shared" si="1"/>
        <v>0</v>
      </c>
      <c r="ES2" s="163">
        <f t="shared" si="1"/>
        <v>0</v>
      </c>
      <c r="ET2" s="163">
        <f t="shared" si="1"/>
        <v>0</v>
      </c>
      <c r="EU2" s="163">
        <f t="shared" si="1"/>
        <v>0</v>
      </c>
      <c r="EV2" s="163">
        <f t="shared" si="1"/>
        <v>0</v>
      </c>
      <c r="EW2" s="163">
        <f t="shared" si="1"/>
        <v>0</v>
      </c>
      <c r="EX2" s="163">
        <f t="shared" si="1"/>
        <v>0</v>
      </c>
      <c r="EY2" s="163">
        <f t="shared" si="1"/>
        <v>0</v>
      </c>
      <c r="EZ2" s="163">
        <f t="shared" si="1"/>
        <v>0</v>
      </c>
      <c r="FA2" s="163">
        <f t="shared" si="1"/>
        <v>0</v>
      </c>
      <c r="FB2" s="163">
        <f t="shared" si="1"/>
        <v>0</v>
      </c>
      <c r="FC2" s="163">
        <f t="shared" si="1"/>
        <v>0</v>
      </c>
      <c r="FD2" s="163">
        <f t="shared" si="1"/>
        <v>0</v>
      </c>
      <c r="FE2" s="163">
        <f t="shared" si="1"/>
        <v>0</v>
      </c>
      <c r="FF2" s="163">
        <f t="shared" si="1"/>
        <v>0</v>
      </c>
      <c r="FG2" s="163">
        <f t="shared" si="1"/>
        <v>0</v>
      </c>
      <c r="FH2" s="163">
        <f t="shared" si="1"/>
        <v>0</v>
      </c>
      <c r="FI2" s="163">
        <f t="shared" si="1"/>
        <v>0</v>
      </c>
      <c r="FJ2" s="163">
        <f t="shared" si="1"/>
        <v>0</v>
      </c>
      <c r="FK2" s="163">
        <f t="shared" si="1"/>
        <v>0</v>
      </c>
      <c r="FL2" s="163">
        <f t="shared" si="1"/>
        <v>0</v>
      </c>
      <c r="FM2" s="163">
        <f t="shared" si="1"/>
        <v>0</v>
      </c>
      <c r="FN2" s="163">
        <f t="shared" si="1"/>
        <v>0</v>
      </c>
      <c r="FO2" s="163">
        <f t="shared" si="1"/>
        <v>0</v>
      </c>
      <c r="FP2" s="163">
        <f t="shared" si="1"/>
        <v>0</v>
      </c>
      <c r="FQ2" s="163">
        <f t="shared" si="1"/>
        <v>0</v>
      </c>
      <c r="FR2" s="163">
        <f t="shared" si="1"/>
        <v>0</v>
      </c>
      <c r="FS2" s="163">
        <f t="shared" si="1"/>
        <v>0</v>
      </c>
      <c r="FT2" s="163">
        <f t="shared" si="1"/>
        <v>0</v>
      </c>
      <c r="FU2" s="163">
        <f t="shared" si="1"/>
        <v>0</v>
      </c>
      <c r="FV2" s="163">
        <f t="shared" si="1"/>
        <v>0</v>
      </c>
      <c r="FW2" s="163">
        <f t="shared" si="1"/>
        <v>0</v>
      </c>
      <c r="FX2" s="163">
        <f t="shared" si="1"/>
        <v>0</v>
      </c>
      <c r="FY2" s="163">
        <f t="shared" si="1"/>
        <v>0</v>
      </c>
      <c r="FZ2" s="163">
        <f t="shared" si="1"/>
        <v>0</v>
      </c>
      <c r="GA2" s="163">
        <f t="shared" si="1"/>
        <v>0</v>
      </c>
      <c r="GB2" s="163">
        <f t="shared" si="1"/>
        <v>0</v>
      </c>
      <c r="GC2" s="163">
        <f t="shared" si="1"/>
        <v>0</v>
      </c>
      <c r="GD2" s="163">
        <f t="shared" si="1"/>
        <v>0</v>
      </c>
      <c r="GE2" s="163">
        <f t="shared" si="1"/>
        <v>0</v>
      </c>
      <c r="GF2" s="163">
        <f t="shared" si="1"/>
        <v>0</v>
      </c>
      <c r="GG2" s="163">
        <f t="shared" si="1"/>
        <v>0</v>
      </c>
      <c r="GH2" s="163">
        <f t="shared" si="1"/>
        <v>0</v>
      </c>
      <c r="GI2" s="163">
        <f t="shared" si="1"/>
        <v>0</v>
      </c>
      <c r="GJ2" s="163">
        <f t="shared" si="1"/>
        <v>0</v>
      </c>
      <c r="GK2" s="163">
        <f t="shared" si="1"/>
        <v>0</v>
      </c>
      <c r="GL2" s="163">
        <f t="shared" si="1"/>
        <v>0</v>
      </c>
      <c r="GM2" s="163">
        <f t="shared" si="1"/>
        <v>0</v>
      </c>
      <c r="GN2" s="163">
        <f t="shared" si="1"/>
        <v>0</v>
      </c>
      <c r="GO2" s="163">
        <f t="shared" si="1"/>
        <v>0</v>
      </c>
      <c r="GP2" s="163">
        <f t="shared" si="1"/>
        <v>0</v>
      </c>
      <c r="GQ2" s="163">
        <f t="shared" ref="GQ2:HL2" si="2">GQ11</f>
        <v>0</v>
      </c>
      <c r="GR2" s="163">
        <f t="shared" si="2"/>
        <v>0</v>
      </c>
      <c r="GS2" s="163">
        <f t="shared" si="2"/>
        <v>0</v>
      </c>
      <c r="GT2" s="163">
        <f t="shared" si="2"/>
        <v>0</v>
      </c>
      <c r="GU2" s="163">
        <f t="shared" si="2"/>
        <v>0</v>
      </c>
      <c r="GV2" s="163">
        <f t="shared" si="2"/>
        <v>0</v>
      </c>
      <c r="GW2" s="163">
        <f t="shared" si="2"/>
        <v>0</v>
      </c>
      <c r="GX2" s="163">
        <f t="shared" si="2"/>
        <v>0</v>
      </c>
      <c r="GY2" s="163">
        <f t="shared" si="2"/>
        <v>0</v>
      </c>
      <c r="GZ2" s="163">
        <f t="shared" si="2"/>
        <v>0</v>
      </c>
      <c r="HA2" s="163">
        <f t="shared" si="2"/>
        <v>0</v>
      </c>
      <c r="HB2" s="163">
        <f t="shared" si="2"/>
        <v>0</v>
      </c>
      <c r="HC2" s="163">
        <f t="shared" si="2"/>
        <v>0</v>
      </c>
      <c r="HD2" s="163">
        <f t="shared" si="2"/>
        <v>0</v>
      </c>
      <c r="HE2" s="163">
        <f t="shared" si="2"/>
        <v>0</v>
      </c>
      <c r="HF2" s="163">
        <f t="shared" si="2"/>
        <v>0</v>
      </c>
      <c r="HG2" s="163">
        <f t="shared" si="2"/>
        <v>0</v>
      </c>
      <c r="HH2" s="163">
        <f t="shared" si="2"/>
        <v>0</v>
      </c>
      <c r="HI2" s="163">
        <f t="shared" si="2"/>
        <v>0</v>
      </c>
      <c r="HJ2" s="163">
        <f t="shared" si="2"/>
        <v>0</v>
      </c>
      <c r="HK2" s="163">
        <f t="shared" si="2"/>
        <v>0</v>
      </c>
      <c r="HL2" s="163">
        <f t="shared" si="2"/>
        <v>0</v>
      </c>
      <c r="HM2" s="163"/>
      <c r="HN2" s="163"/>
      <c r="HO2" s="163"/>
      <c r="HP2" s="163"/>
      <c r="HQ2" s="163"/>
    </row>
    <row r="3" spans="1:276" s="161" customFormat="1" ht="13.5">
      <c r="A3" s="160" t="str">
        <f>A12</f>
        <v>A4132</v>
      </c>
      <c r="B3" s="160" t="str">
        <f>$B$25</f>
        <v>DIAN</v>
      </c>
      <c r="C3" s="160" t="str">
        <f>$C$25</f>
        <v>Portal</v>
      </c>
      <c r="D3" s="119" t="s">
        <v>195</v>
      </c>
      <c r="E3" s="173">
        <f>SUM(F3:IJ3)</f>
        <v>0.99999999999999989</v>
      </c>
      <c r="F3" s="161">
        <v>0.16666666666666666</v>
      </c>
      <c r="G3" s="161">
        <v>0.16666666666666666</v>
      </c>
      <c r="H3" s="161">
        <v>0.16666666666666666</v>
      </c>
      <c r="I3" s="161">
        <v>0.16666666666666666</v>
      </c>
      <c r="J3" s="161">
        <v>0.16666666666666666</v>
      </c>
      <c r="K3" s="161">
        <v>0.16666666666666666</v>
      </c>
      <c r="L3" s="161">
        <v>0</v>
      </c>
      <c r="M3" s="161">
        <v>0</v>
      </c>
      <c r="N3" s="161">
        <v>0</v>
      </c>
      <c r="O3" s="161">
        <v>0</v>
      </c>
      <c r="P3" s="161">
        <v>0</v>
      </c>
      <c r="Q3" s="161">
        <v>0</v>
      </c>
      <c r="R3" s="161">
        <v>0</v>
      </c>
      <c r="S3" s="161">
        <v>0</v>
      </c>
    </row>
    <row r="4" spans="1:276" s="161" customFormat="1" ht="13.5">
      <c r="A4" s="160" t="str">
        <f>$A$12</f>
        <v>A4132</v>
      </c>
      <c r="B4" s="160" t="str">
        <f t="shared" ref="B4:B8" si="3">$B$25</f>
        <v>DIAN</v>
      </c>
      <c r="C4" s="160" t="str">
        <f t="shared" ref="C4:C8" si="4">$C$25</f>
        <v>Portal</v>
      </c>
      <c r="D4" s="119" t="s">
        <v>196</v>
      </c>
      <c r="E4" s="173">
        <f>SUM(F4:IJ4)</f>
        <v>1</v>
      </c>
      <c r="F4" s="161">
        <v>0</v>
      </c>
      <c r="G4" s="161">
        <v>0</v>
      </c>
      <c r="H4" s="161">
        <v>8.3333333333333329E-2</v>
      </c>
      <c r="I4" s="161">
        <v>8.3333333333333329E-2</v>
      </c>
      <c r="J4" s="161">
        <v>8.3333333333333329E-2</v>
      </c>
      <c r="K4" s="161">
        <v>8.3333333333333329E-2</v>
      </c>
      <c r="L4" s="161">
        <v>8.3333333333333329E-2</v>
      </c>
      <c r="M4" s="161">
        <v>8.3333333333333329E-2</v>
      </c>
      <c r="N4" s="161">
        <v>8.3333333333333329E-2</v>
      </c>
      <c r="O4" s="161">
        <v>8.3333333333333329E-2</v>
      </c>
      <c r="P4" s="161">
        <v>8.3333333333333329E-2</v>
      </c>
      <c r="Q4" s="161">
        <v>8.3333333333333329E-2</v>
      </c>
      <c r="R4" s="161">
        <v>8.3333333333333329E-2</v>
      </c>
      <c r="S4" s="161">
        <v>8.3333333333333329E-2</v>
      </c>
    </row>
    <row r="5" spans="1:276" s="161" customFormat="1" ht="13.5">
      <c r="A5" s="160" t="str">
        <f t="shared" ref="A5:A8" si="5">$A$12</f>
        <v>A4132</v>
      </c>
      <c r="B5" s="160" t="str">
        <f t="shared" si="3"/>
        <v>DIAN</v>
      </c>
      <c r="C5" s="160" t="str">
        <f t="shared" si="4"/>
        <v>Portal</v>
      </c>
      <c r="D5" s="119" t="s">
        <v>197</v>
      </c>
      <c r="E5" s="173">
        <f>SUM(F5:IJ5)</f>
        <v>1</v>
      </c>
      <c r="F5" s="161">
        <v>0</v>
      </c>
      <c r="G5" s="161">
        <v>1.7481783981091702E-2</v>
      </c>
      <c r="H5" s="161">
        <v>1.7481783981091702E-2</v>
      </c>
      <c r="I5" s="161">
        <v>8.7730584730710603E-2</v>
      </c>
      <c r="J5" s="161">
        <v>8.7730584730710603E-2</v>
      </c>
      <c r="K5" s="161">
        <v>8.7730584730710603E-2</v>
      </c>
      <c r="L5" s="161">
        <v>8.7730584730710603E-2</v>
      </c>
      <c r="M5" s="161">
        <v>8.7730584730710603E-2</v>
      </c>
      <c r="N5" s="161">
        <v>8.7730584730710603E-2</v>
      </c>
      <c r="O5" s="161">
        <v>8.7730584730710603E-2</v>
      </c>
      <c r="P5" s="161">
        <v>8.7730584730710603E-2</v>
      </c>
      <c r="Q5" s="161">
        <v>8.7730584730710603E-2</v>
      </c>
      <c r="R5" s="161">
        <v>8.7730584730710603E-2</v>
      </c>
      <c r="S5" s="161">
        <v>8.7730584730710603E-2</v>
      </c>
    </row>
    <row r="6" spans="1:276" s="161" customFormat="1" ht="13.5">
      <c r="A6" s="160" t="str">
        <f t="shared" si="5"/>
        <v>A4132</v>
      </c>
      <c r="B6" s="160" t="str">
        <f t="shared" si="3"/>
        <v>DIAN</v>
      </c>
      <c r="C6" s="160" t="str">
        <f t="shared" si="4"/>
        <v>Portal</v>
      </c>
      <c r="D6" s="119" t="s">
        <v>198</v>
      </c>
      <c r="E6" s="173">
        <f>SUM(F6:IJ6)</f>
        <v>1</v>
      </c>
      <c r="F6" s="161">
        <v>0</v>
      </c>
      <c r="G6" s="161">
        <v>0</v>
      </c>
      <c r="H6" s="161">
        <v>8.3333333333333329E-2</v>
      </c>
      <c r="I6" s="161">
        <v>8.3333333333333329E-2</v>
      </c>
      <c r="J6" s="161">
        <v>8.3333333333333329E-2</v>
      </c>
      <c r="K6" s="161">
        <v>8.3333333333333329E-2</v>
      </c>
      <c r="L6" s="161">
        <v>8.3333333333333329E-2</v>
      </c>
      <c r="M6" s="161">
        <v>8.3333333333333329E-2</v>
      </c>
      <c r="N6" s="161">
        <v>8.3333333333333329E-2</v>
      </c>
      <c r="O6" s="161">
        <v>8.3333333333333329E-2</v>
      </c>
      <c r="P6" s="161">
        <v>8.3333333333333329E-2</v>
      </c>
      <c r="Q6" s="161">
        <v>8.3333333333333329E-2</v>
      </c>
      <c r="R6" s="161">
        <v>8.3333333333333329E-2</v>
      </c>
      <c r="S6" s="161">
        <v>8.3333333333333329E-2</v>
      </c>
    </row>
    <row r="7" spans="1:276" s="157" customFormat="1" ht="13.5">
      <c r="A7" s="160" t="str">
        <f t="shared" si="5"/>
        <v>A4132</v>
      </c>
      <c r="B7" s="160" t="str">
        <f t="shared" si="3"/>
        <v>DIAN</v>
      </c>
      <c r="C7" s="160" t="str">
        <f t="shared" si="4"/>
        <v>Portal</v>
      </c>
      <c r="D7" s="119" t="s">
        <v>199</v>
      </c>
      <c r="E7" s="173">
        <f>SUM(F7:IJ7)</f>
        <v>1</v>
      </c>
      <c r="F7" s="161">
        <v>1</v>
      </c>
      <c r="G7" s="161">
        <v>0</v>
      </c>
      <c r="H7" s="161">
        <v>0</v>
      </c>
      <c r="I7" s="161">
        <v>0</v>
      </c>
      <c r="J7" s="161">
        <v>0</v>
      </c>
      <c r="K7" s="161">
        <v>0</v>
      </c>
      <c r="L7" s="161">
        <v>0</v>
      </c>
      <c r="M7" s="161">
        <v>0</v>
      </c>
      <c r="N7" s="161">
        <v>0</v>
      </c>
      <c r="O7" s="161">
        <v>0</v>
      </c>
      <c r="P7" s="161">
        <v>0</v>
      </c>
      <c r="Q7" s="161">
        <v>0</v>
      </c>
      <c r="R7" s="161">
        <v>0</v>
      </c>
      <c r="S7" s="161">
        <v>0</v>
      </c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  <c r="AJ7" s="161"/>
      <c r="AK7" s="161"/>
      <c r="AL7" s="161"/>
      <c r="AM7" s="161"/>
      <c r="AN7" s="161"/>
      <c r="AO7" s="161"/>
      <c r="AP7" s="161"/>
      <c r="AQ7" s="161"/>
      <c r="AR7" s="161"/>
      <c r="AS7" s="161"/>
      <c r="AT7" s="161"/>
      <c r="AU7" s="161"/>
      <c r="AV7" s="161"/>
      <c r="AW7" s="161"/>
      <c r="AX7" s="161"/>
      <c r="AY7" s="161"/>
      <c r="AZ7" s="161"/>
      <c r="BA7" s="161"/>
      <c r="BB7" s="161"/>
      <c r="BC7" s="161"/>
      <c r="BD7" s="161"/>
      <c r="BE7" s="161"/>
      <c r="BF7" s="161"/>
      <c r="BG7" s="161"/>
      <c r="BH7" s="161"/>
      <c r="BI7" s="161"/>
      <c r="BJ7" s="161"/>
      <c r="BK7" s="161"/>
      <c r="BL7" s="161"/>
      <c r="BM7" s="161"/>
      <c r="BN7" s="161"/>
      <c r="BO7" s="161"/>
      <c r="BP7" s="161"/>
      <c r="BQ7" s="161"/>
      <c r="BR7" s="161"/>
      <c r="BS7" s="161"/>
      <c r="BT7" s="161"/>
      <c r="BU7" s="161"/>
      <c r="BV7" s="161"/>
      <c r="BW7" s="161"/>
      <c r="BX7" s="161"/>
      <c r="BY7" s="161"/>
      <c r="BZ7" s="161"/>
      <c r="CA7" s="161"/>
      <c r="CB7" s="161"/>
      <c r="CC7" s="161"/>
      <c r="CD7" s="161"/>
      <c r="CE7" s="161"/>
      <c r="CF7" s="161"/>
      <c r="CG7" s="161"/>
      <c r="CH7" s="161"/>
      <c r="CI7" s="161"/>
      <c r="CJ7" s="161"/>
      <c r="CK7" s="161"/>
      <c r="CL7" s="161"/>
      <c r="CM7" s="161"/>
      <c r="CN7" s="161"/>
      <c r="CO7" s="161"/>
      <c r="CP7" s="161"/>
      <c r="CQ7" s="161"/>
      <c r="CR7" s="161"/>
      <c r="CS7" s="161"/>
      <c r="CT7" s="161"/>
      <c r="CU7" s="161"/>
      <c r="CV7" s="161"/>
      <c r="CW7" s="161"/>
      <c r="CX7" s="161"/>
      <c r="CY7" s="161"/>
      <c r="CZ7" s="161"/>
      <c r="DA7" s="161"/>
      <c r="DB7" s="161"/>
      <c r="DC7" s="161"/>
      <c r="DD7" s="161"/>
      <c r="DE7" s="161"/>
      <c r="DF7" s="161"/>
      <c r="DG7" s="161"/>
      <c r="DH7" s="161"/>
      <c r="DI7" s="161"/>
      <c r="DJ7" s="161"/>
      <c r="DK7" s="161"/>
      <c r="DL7" s="161"/>
      <c r="DM7" s="161"/>
      <c r="DN7" s="161"/>
      <c r="DO7" s="161"/>
      <c r="DP7" s="161"/>
      <c r="DQ7" s="161"/>
      <c r="DR7" s="161"/>
      <c r="DS7" s="161"/>
      <c r="DT7" s="161"/>
      <c r="DU7" s="161"/>
      <c r="DV7" s="161"/>
      <c r="DW7" s="161"/>
      <c r="DX7" s="161"/>
      <c r="DY7" s="161"/>
      <c r="DZ7" s="161"/>
      <c r="EA7" s="161"/>
      <c r="EB7" s="161"/>
      <c r="EC7" s="161"/>
      <c r="ED7" s="161"/>
      <c r="EE7" s="161"/>
      <c r="EF7" s="161"/>
      <c r="EG7" s="161"/>
      <c r="EH7" s="161"/>
      <c r="EI7" s="161"/>
      <c r="EJ7" s="161"/>
      <c r="EK7" s="161"/>
      <c r="EL7" s="161"/>
      <c r="EM7" s="161"/>
      <c r="EN7" s="161"/>
      <c r="EO7" s="161"/>
      <c r="EP7" s="161"/>
      <c r="EQ7" s="161"/>
      <c r="ER7" s="161"/>
      <c r="ES7" s="161"/>
      <c r="ET7" s="161"/>
      <c r="EU7" s="161"/>
      <c r="EV7" s="161"/>
      <c r="EW7" s="161"/>
      <c r="EX7" s="161"/>
      <c r="EY7" s="161"/>
      <c r="EZ7" s="161"/>
      <c r="FA7" s="161"/>
      <c r="FB7" s="161"/>
      <c r="FC7" s="161"/>
      <c r="FD7" s="161"/>
      <c r="FE7" s="161"/>
      <c r="FF7" s="161"/>
      <c r="FG7" s="161"/>
      <c r="FH7" s="161"/>
      <c r="FI7" s="161"/>
      <c r="FJ7" s="161"/>
      <c r="FK7" s="161"/>
      <c r="FL7" s="161"/>
      <c r="FM7" s="161"/>
      <c r="FN7" s="161"/>
      <c r="FO7" s="161"/>
      <c r="FP7" s="161"/>
      <c r="FQ7" s="161"/>
      <c r="FR7" s="161"/>
      <c r="FS7" s="161"/>
      <c r="FT7" s="161"/>
      <c r="FU7" s="161"/>
      <c r="FV7" s="161"/>
      <c r="FW7" s="161"/>
      <c r="FX7" s="161"/>
      <c r="FY7" s="161"/>
      <c r="FZ7" s="161"/>
      <c r="GA7" s="161"/>
      <c r="GB7" s="161"/>
      <c r="GC7" s="161"/>
      <c r="GD7" s="161"/>
      <c r="GE7" s="161"/>
      <c r="GF7" s="161"/>
      <c r="GG7" s="161"/>
      <c r="GH7" s="161"/>
      <c r="GI7" s="161"/>
      <c r="GJ7" s="161"/>
      <c r="GK7" s="161"/>
      <c r="GL7" s="161"/>
      <c r="GM7" s="161"/>
      <c r="GN7" s="161"/>
      <c r="GO7" s="161"/>
      <c r="GP7" s="161"/>
      <c r="GQ7" s="161"/>
      <c r="GR7" s="161"/>
      <c r="GS7" s="161"/>
      <c r="GT7" s="161"/>
      <c r="GU7" s="161"/>
      <c r="GV7" s="161"/>
      <c r="GW7" s="161"/>
      <c r="GX7" s="161"/>
      <c r="GY7" s="161"/>
      <c r="GZ7" s="161"/>
      <c r="HA7" s="161"/>
      <c r="HB7" s="161"/>
      <c r="HC7" s="161"/>
      <c r="HD7" s="161"/>
      <c r="HE7" s="161"/>
      <c r="HF7" s="161"/>
      <c r="HG7" s="161"/>
      <c r="HH7" s="161"/>
      <c r="HI7" s="161"/>
      <c r="HJ7" s="161"/>
      <c r="HK7" s="161"/>
      <c r="HL7" s="161"/>
      <c r="HM7" s="161"/>
      <c r="HN7" s="161"/>
      <c r="HO7" s="161"/>
      <c r="HP7" s="161"/>
      <c r="HQ7" s="161"/>
      <c r="HR7" s="161"/>
      <c r="HS7" s="161"/>
      <c r="HT7" s="161"/>
      <c r="HU7" s="161"/>
      <c r="HV7" s="161"/>
      <c r="HW7" s="161"/>
      <c r="HX7" s="161"/>
      <c r="HY7" s="161"/>
      <c r="HZ7" s="161"/>
      <c r="IA7" s="161"/>
      <c r="IB7" s="161"/>
      <c r="IC7" s="161"/>
      <c r="ID7" s="161"/>
      <c r="IE7" s="161"/>
      <c r="IF7" s="161"/>
      <c r="IG7" s="161"/>
      <c r="IH7" s="161"/>
      <c r="II7" s="161"/>
      <c r="IJ7" s="161"/>
      <c r="IK7" s="161"/>
      <c r="IL7" s="161"/>
      <c r="IM7" s="161"/>
      <c r="IN7" s="161"/>
      <c r="IO7" s="161"/>
      <c r="IP7" s="161"/>
      <c r="IQ7" s="161"/>
      <c r="IR7" s="161"/>
      <c r="IS7" s="161"/>
      <c r="IT7" s="161"/>
      <c r="IU7" s="161"/>
      <c r="IV7" s="161"/>
      <c r="IW7" s="161"/>
      <c r="IX7" s="161"/>
      <c r="IY7" s="161"/>
      <c r="IZ7" s="161"/>
      <c r="JA7" s="161"/>
      <c r="JB7" s="161"/>
      <c r="JC7" s="161"/>
      <c r="JD7" s="161"/>
      <c r="JE7" s="161"/>
      <c r="JF7" s="161"/>
      <c r="JG7" s="161"/>
      <c r="JH7" s="161"/>
      <c r="JI7" s="161"/>
      <c r="JJ7" s="161"/>
      <c r="JK7" s="161"/>
      <c r="JL7" s="161"/>
      <c r="JM7" s="161"/>
      <c r="JN7" s="161"/>
      <c r="JO7" s="161"/>
      <c r="JP7" s="161"/>
    </row>
    <row r="8" spans="1:276" s="157" customFormat="1">
      <c r="A8" s="139"/>
      <c r="B8" s="139"/>
      <c r="C8" s="139"/>
      <c r="D8" s="139"/>
      <c r="E8" s="174"/>
    </row>
    <row r="9" spans="1:276" s="177" customFormat="1">
      <c r="E9" s="178"/>
    </row>
    <row r="10" spans="1:276">
      <c r="A10" s="226" t="s">
        <v>19</v>
      </c>
      <c r="B10" s="227"/>
    </row>
    <row r="11" spans="1:276" s="190" customFormat="1">
      <c r="A11" s="187" t="s">
        <v>163</v>
      </c>
      <c r="B11" s="187" t="s">
        <v>165</v>
      </c>
      <c r="C11" s="187" t="s">
        <v>167</v>
      </c>
      <c r="D11" s="187" t="s">
        <v>1</v>
      </c>
      <c r="E11" s="188" t="s">
        <v>19</v>
      </c>
      <c r="F11" s="189" t="s">
        <v>170</v>
      </c>
      <c r="G11" s="189" t="s">
        <v>200</v>
      </c>
      <c r="H11" s="189" t="s">
        <v>201</v>
      </c>
      <c r="I11" s="189" t="s">
        <v>202</v>
      </c>
      <c r="J11" s="189" t="s">
        <v>203</v>
      </c>
      <c r="K11" s="189" t="s">
        <v>204</v>
      </c>
      <c r="L11" s="189" t="s">
        <v>205</v>
      </c>
      <c r="M11" s="189" t="s">
        <v>206</v>
      </c>
      <c r="N11" s="189" t="s">
        <v>207</v>
      </c>
      <c r="O11" s="189" t="s">
        <v>208</v>
      </c>
      <c r="P11" s="189" t="s">
        <v>209</v>
      </c>
      <c r="Q11" s="189" t="s">
        <v>210</v>
      </c>
      <c r="R11" s="189" t="s">
        <v>211</v>
      </c>
      <c r="S11" s="189" t="s">
        <v>212</v>
      </c>
      <c r="T11" s="189"/>
      <c r="U11" s="189"/>
      <c r="V11" s="189"/>
      <c r="W11" s="189"/>
      <c r="X11" s="189"/>
      <c r="Y11" s="189"/>
      <c r="Z11" s="189"/>
      <c r="AA11" s="189"/>
      <c r="AB11" s="189"/>
      <c r="AC11" s="189"/>
      <c r="AD11" s="189"/>
      <c r="AE11" s="189"/>
      <c r="AF11" s="189"/>
      <c r="AG11" s="189"/>
      <c r="AH11" s="189"/>
      <c r="AI11" s="189"/>
      <c r="AJ11" s="189"/>
      <c r="AK11" s="189"/>
    </row>
    <row r="12" spans="1:276" s="136" customFormat="1" ht="13.5">
      <c r="A12" s="119" t="str">
        <f>Parameters!B14</f>
        <v>A4132</v>
      </c>
      <c r="B12" s="119" t="str">
        <f>Parameters!B15</f>
        <v>DIAN</v>
      </c>
      <c r="C12" s="119" t="str">
        <f>Parameters!B16</f>
        <v>Portal</v>
      </c>
      <c r="D12" s="119" t="s">
        <v>10</v>
      </c>
      <c r="E12" s="169">
        <f>Total!G14</f>
        <v>28956000</v>
      </c>
      <c r="F12" s="136">
        <v>217920000</v>
      </c>
      <c r="G12" s="136">
        <v>217920000</v>
      </c>
      <c r="H12" s="136">
        <v>217920000</v>
      </c>
      <c r="I12" s="136">
        <v>217920000</v>
      </c>
      <c r="J12" s="136">
        <v>217920000</v>
      </c>
      <c r="K12" s="136">
        <v>217920000</v>
      </c>
      <c r="L12" s="136">
        <v>0</v>
      </c>
      <c r="M12" s="136">
        <v>0</v>
      </c>
      <c r="N12" s="136">
        <v>0</v>
      </c>
      <c r="O12" s="136">
        <v>0</v>
      </c>
      <c r="P12" s="136">
        <v>0</v>
      </c>
      <c r="Q12" s="136">
        <v>0</v>
      </c>
      <c r="R12" s="136">
        <v>0</v>
      </c>
      <c r="S12" s="136">
        <v>0</v>
      </c>
    </row>
    <row r="13" spans="1:276" s="136" customFormat="1" ht="13.5">
      <c r="A13" s="119" t="str">
        <f>Parameters!B14</f>
        <v>A4132</v>
      </c>
      <c r="B13" s="119" t="str">
        <f>Parameters!B15</f>
        <v>DIAN</v>
      </c>
      <c r="C13" s="119" t="str">
        <f>Parameters!B16</f>
        <v>Portal</v>
      </c>
      <c r="D13" s="119" t="s">
        <v>13</v>
      </c>
      <c r="E13" s="169">
        <f>Total!G16</f>
        <v>0</v>
      </c>
      <c r="F13" s="137">
        <v>0</v>
      </c>
      <c r="G13" s="136">
        <v>0</v>
      </c>
      <c r="H13" s="136">
        <v>70204500</v>
      </c>
      <c r="I13" s="136">
        <v>70204500</v>
      </c>
      <c r="J13" s="136">
        <v>70204500</v>
      </c>
      <c r="K13" s="136">
        <v>70204500</v>
      </c>
      <c r="L13" s="136">
        <v>70204500</v>
      </c>
      <c r="M13" s="136">
        <v>70204500</v>
      </c>
      <c r="N13" s="136">
        <v>70204500</v>
      </c>
      <c r="O13" s="136">
        <v>70204500</v>
      </c>
      <c r="P13" s="136">
        <v>70204500</v>
      </c>
      <c r="Q13" s="136">
        <v>70204500</v>
      </c>
      <c r="R13" s="136">
        <v>70204500</v>
      </c>
      <c r="S13" s="136">
        <v>70204500</v>
      </c>
    </row>
    <row r="14" spans="1:276" s="136" customFormat="1" ht="13.5">
      <c r="A14" s="119" t="str">
        <f>Parameters!B14</f>
        <v>A4132</v>
      </c>
      <c r="B14" s="119" t="str">
        <f>Parameters!B15</f>
        <v>DIAN</v>
      </c>
      <c r="C14" s="119" t="str">
        <f>Parameters!B16</f>
        <v>Portal</v>
      </c>
      <c r="D14" s="119" t="s">
        <v>158</v>
      </c>
      <c r="E14" s="169">
        <f>Total!G15+Total!I17</f>
        <v>7812000</v>
      </c>
      <c r="F14" s="136">
        <v>0</v>
      </c>
      <c r="G14" s="136">
        <v>22500000</v>
      </c>
      <c r="H14" s="136">
        <v>22500000</v>
      </c>
      <c r="I14" s="136">
        <v>112914000</v>
      </c>
      <c r="J14" s="136">
        <v>112914000</v>
      </c>
      <c r="K14" s="136">
        <v>112914000</v>
      </c>
      <c r="L14" s="136">
        <v>112914000</v>
      </c>
      <c r="M14" s="136">
        <v>112914000</v>
      </c>
      <c r="N14" s="136">
        <v>112914000</v>
      </c>
      <c r="O14" s="136">
        <v>112914000</v>
      </c>
      <c r="P14" s="136">
        <v>112914000</v>
      </c>
      <c r="Q14" s="136">
        <v>112914000</v>
      </c>
      <c r="R14" s="136">
        <v>112914000</v>
      </c>
      <c r="S14" s="136">
        <v>112914000</v>
      </c>
    </row>
    <row r="15" spans="1:276" s="136" customFormat="1" ht="13.5">
      <c r="A15" s="119" t="str">
        <f>Parameters!B14</f>
        <v>A4132</v>
      </c>
      <c r="B15" s="119" t="str">
        <f>Parameters!B15</f>
        <v>DIAN</v>
      </c>
      <c r="C15" s="119" t="str">
        <f>Parameters!B16</f>
        <v>Portal</v>
      </c>
      <c r="D15" s="119" t="s">
        <v>160</v>
      </c>
      <c r="E15" s="169">
        <f>Total!G18</f>
        <v>0</v>
      </c>
      <c r="F15" s="136">
        <v>0</v>
      </c>
      <c r="G15" s="136">
        <v>0</v>
      </c>
      <c r="H15" s="136">
        <v>11700000</v>
      </c>
      <c r="I15" s="136">
        <v>11700000</v>
      </c>
      <c r="J15" s="136">
        <v>11700000</v>
      </c>
      <c r="K15" s="136">
        <v>11700000</v>
      </c>
      <c r="L15" s="136">
        <v>11700000</v>
      </c>
      <c r="M15" s="136">
        <v>11700000</v>
      </c>
      <c r="N15" s="136">
        <v>11700000</v>
      </c>
      <c r="O15" s="136">
        <v>11700000</v>
      </c>
      <c r="P15" s="136">
        <v>11700000</v>
      </c>
      <c r="Q15" s="136">
        <v>11700000</v>
      </c>
      <c r="R15" s="136">
        <v>11700000</v>
      </c>
      <c r="S15" s="136">
        <v>11700000</v>
      </c>
    </row>
    <row r="16" spans="1:276" s="136" customFormat="1" ht="13.5">
      <c r="A16" s="119" t="s">
        <v>164</v>
      </c>
      <c r="B16" s="119" t="s">
        <v>166</v>
      </c>
      <c r="C16" s="119" t="s">
        <v>168</v>
      </c>
      <c r="D16" s="184" t="s">
        <v>213</v>
      </c>
      <c r="E16" s="169">
        <f>Total!G19</f>
        <v>0</v>
      </c>
      <c r="F16" s="136">
        <v>2250072000</v>
      </c>
      <c r="G16" s="136">
        <v>0</v>
      </c>
      <c r="H16" s="136">
        <v>0</v>
      </c>
      <c r="I16" s="136">
        <v>0</v>
      </c>
      <c r="J16" s="136">
        <v>0</v>
      </c>
      <c r="K16" s="136">
        <v>0</v>
      </c>
      <c r="L16" s="136">
        <v>0</v>
      </c>
      <c r="M16" s="136">
        <v>0</v>
      </c>
      <c r="N16" s="136">
        <v>0</v>
      </c>
      <c r="O16" s="136">
        <v>0</v>
      </c>
      <c r="P16" s="136">
        <v>0</v>
      </c>
      <c r="Q16" s="136">
        <v>0</v>
      </c>
      <c r="R16" s="136">
        <v>0</v>
      </c>
      <c r="S16" s="136">
        <v>0</v>
      </c>
    </row>
    <row r="17" spans="1:276" s="136" customFormat="1" ht="13.5">
      <c r="A17" s="138" t="str">
        <f>Parameters!B14</f>
        <v>A4132</v>
      </c>
      <c r="B17" s="138" t="str">
        <f>Parameters!B15</f>
        <v>DIAN</v>
      </c>
      <c r="C17" s="138" t="str">
        <f>Parameters!B16</f>
        <v>Portal</v>
      </c>
      <c r="D17" s="138" t="s">
        <v>19</v>
      </c>
      <c r="E17" s="170">
        <f>SUM(E12:E16)</f>
        <v>36768000</v>
      </c>
      <c r="F17" s="170">
        <f t="shared" ref="F17:BQ17" si="6">SUM(F12:F16)</f>
        <v>2467992000</v>
      </c>
      <c r="G17" s="170">
        <f t="shared" si="6"/>
        <v>240420000</v>
      </c>
      <c r="H17" s="170">
        <f t="shared" si="6"/>
        <v>322324500</v>
      </c>
      <c r="I17" s="170">
        <f t="shared" si="6"/>
        <v>412738500</v>
      </c>
      <c r="J17" s="170">
        <f t="shared" si="6"/>
        <v>412738500</v>
      </c>
      <c r="K17" s="170">
        <f t="shared" si="6"/>
        <v>412738500</v>
      </c>
      <c r="L17" s="170">
        <f t="shared" si="6"/>
        <v>194818500</v>
      </c>
      <c r="M17" s="170">
        <f t="shared" si="6"/>
        <v>194818500</v>
      </c>
      <c r="N17" s="170">
        <f t="shared" si="6"/>
        <v>194818500</v>
      </c>
      <c r="O17" s="170">
        <f t="shared" si="6"/>
        <v>194818500</v>
      </c>
      <c r="P17" s="170">
        <f t="shared" si="6"/>
        <v>194818500</v>
      </c>
      <c r="Q17" s="170">
        <f t="shared" si="6"/>
        <v>194818500</v>
      </c>
      <c r="R17" s="170">
        <f t="shared" si="6"/>
        <v>194818500</v>
      </c>
      <c r="S17" s="170">
        <f t="shared" si="6"/>
        <v>194818500</v>
      </c>
      <c r="T17" s="170">
        <f t="shared" si="6"/>
        <v>0</v>
      </c>
      <c r="U17" s="170">
        <f t="shared" si="6"/>
        <v>0</v>
      </c>
      <c r="V17" s="170">
        <f t="shared" si="6"/>
        <v>0</v>
      </c>
      <c r="W17" s="170">
        <f t="shared" si="6"/>
        <v>0</v>
      </c>
      <c r="X17" s="170">
        <f t="shared" si="6"/>
        <v>0</v>
      </c>
      <c r="Y17" s="170">
        <f t="shared" si="6"/>
        <v>0</v>
      </c>
      <c r="Z17" s="170">
        <f t="shared" si="6"/>
        <v>0</v>
      </c>
      <c r="AA17" s="170">
        <f t="shared" si="6"/>
        <v>0</v>
      </c>
      <c r="AB17" s="170">
        <f t="shared" si="6"/>
        <v>0</v>
      </c>
      <c r="AC17" s="170">
        <f t="shared" si="6"/>
        <v>0</v>
      </c>
      <c r="AD17" s="170">
        <f t="shared" si="6"/>
        <v>0</v>
      </c>
      <c r="AE17" s="170">
        <f t="shared" si="6"/>
        <v>0</v>
      </c>
      <c r="AF17" s="170">
        <f t="shared" si="6"/>
        <v>0</v>
      </c>
      <c r="AG17" s="170">
        <f t="shared" si="6"/>
        <v>0</v>
      </c>
      <c r="AH17" s="170">
        <f t="shared" si="6"/>
        <v>0</v>
      </c>
      <c r="AI17" s="170">
        <f t="shared" si="6"/>
        <v>0</v>
      </c>
      <c r="AJ17" s="170">
        <f t="shared" si="6"/>
        <v>0</v>
      </c>
      <c r="AK17" s="170">
        <f t="shared" si="6"/>
        <v>0</v>
      </c>
      <c r="AL17" s="170">
        <f t="shared" si="6"/>
        <v>0</v>
      </c>
      <c r="AM17" s="170">
        <f t="shared" si="6"/>
        <v>0</v>
      </c>
      <c r="AN17" s="170">
        <f t="shared" si="6"/>
        <v>0</v>
      </c>
      <c r="AO17" s="170">
        <f t="shared" si="6"/>
        <v>0</v>
      </c>
      <c r="AP17" s="170">
        <f t="shared" si="6"/>
        <v>0</v>
      </c>
      <c r="AQ17" s="170">
        <f t="shared" si="6"/>
        <v>0</v>
      </c>
      <c r="AR17" s="170">
        <f t="shared" si="6"/>
        <v>0</v>
      </c>
      <c r="AS17" s="170">
        <f t="shared" si="6"/>
        <v>0</v>
      </c>
      <c r="AT17" s="170">
        <f t="shared" si="6"/>
        <v>0</v>
      </c>
      <c r="AU17" s="170">
        <f t="shared" si="6"/>
        <v>0</v>
      </c>
      <c r="AV17" s="170">
        <f t="shared" si="6"/>
        <v>0</v>
      </c>
      <c r="AW17" s="170">
        <f t="shared" si="6"/>
        <v>0</v>
      </c>
      <c r="AX17" s="170">
        <f t="shared" si="6"/>
        <v>0</v>
      </c>
      <c r="AY17" s="170">
        <f t="shared" si="6"/>
        <v>0</v>
      </c>
      <c r="AZ17" s="170">
        <f t="shared" si="6"/>
        <v>0</v>
      </c>
      <c r="BA17" s="170">
        <f t="shared" si="6"/>
        <v>0</v>
      </c>
      <c r="BB17" s="170">
        <f t="shared" si="6"/>
        <v>0</v>
      </c>
      <c r="BC17" s="170">
        <f t="shared" si="6"/>
        <v>0</v>
      </c>
      <c r="BD17" s="170">
        <f t="shared" si="6"/>
        <v>0</v>
      </c>
      <c r="BE17" s="170">
        <f t="shared" si="6"/>
        <v>0</v>
      </c>
      <c r="BF17" s="170">
        <f t="shared" si="6"/>
        <v>0</v>
      </c>
      <c r="BG17" s="170">
        <f t="shared" si="6"/>
        <v>0</v>
      </c>
      <c r="BH17" s="170">
        <f t="shared" si="6"/>
        <v>0</v>
      </c>
      <c r="BI17" s="170">
        <f t="shared" si="6"/>
        <v>0</v>
      </c>
      <c r="BJ17" s="170">
        <f t="shared" si="6"/>
        <v>0</v>
      </c>
      <c r="BK17" s="170">
        <f t="shared" si="6"/>
        <v>0</v>
      </c>
      <c r="BL17" s="170">
        <f t="shared" si="6"/>
        <v>0</v>
      </c>
      <c r="BM17" s="170">
        <f t="shared" si="6"/>
        <v>0</v>
      </c>
      <c r="BN17" s="170">
        <f t="shared" si="6"/>
        <v>0</v>
      </c>
      <c r="BO17" s="170">
        <f t="shared" si="6"/>
        <v>0</v>
      </c>
      <c r="BP17" s="170">
        <f t="shared" si="6"/>
        <v>0</v>
      </c>
      <c r="BQ17" s="170">
        <f t="shared" si="6"/>
        <v>0</v>
      </c>
      <c r="BR17" s="170">
        <f t="shared" ref="BR17:EC17" si="7">SUM(BR12:BR16)</f>
        <v>0</v>
      </c>
      <c r="BS17" s="170">
        <f t="shared" si="7"/>
        <v>0</v>
      </c>
      <c r="BT17" s="170">
        <f t="shared" si="7"/>
        <v>0</v>
      </c>
      <c r="BU17" s="170">
        <f t="shared" si="7"/>
        <v>0</v>
      </c>
      <c r="BV17" s="170">
        <f t="shared" si="7"/>
        <v>0</v>
      </c>
      <c r="BW17" s="170">
        <f t="shared" si="7"/>
        <v>0</v>
      </c>
      <c r="BX17" s="170">
        <f t="shared" si="7"/>
        <v>0</v>
      </c>
      <c r="BY17" s="170">
        <f t="shared" si="7"/>
        <v>0</v>
      </c>
      <c r="BZ17" s="170">
        <f t="shared" si="7"/>
        <v>0</v>
      </c>
      <c r="CA17" s="170">
        <f t="shared" si="7"/>
        <v>0</v>
      </c>
      <c r="CB17" s="170">
        <f t="shared" si="7"/>
        <v>0</v>
      </c>
      <c r="CC17" s="170">
        <f t="shared" si="7"/>
        <v>0</v>
      </c>
      <c r="CD17" s="170">
        <f t="shared" si="7"/>
        <v>0</v>
      </c>
      <c r="CE17" s="170">
        <f t="shared" si="7"/>
        <v>0</v>
      </c>
      <c r="CF17" s="170">
        <f t="shared" si="7"/>
        <v>0</v>
      </c>
      <c r="CG17" s="170">
        <f t="shared" si="7"/>
        <v>0</v>
      </c>
      <c r="CH17" s="170">
        <f t="shared" si="7"/>
        <v>0</v>
      </c>
      <c r="CI17" s="170">
        <f t="shared" si="7"/>
        <v>0</v>
      </c>
      <c r="CJ17" s="170">
        <f t="shared" si="7"/>
        <v>0</v>
      </c>
      <c r="CK17" s="170">
        <f t="shared" si="7"/>
        <v>0</v>
      </c>
      <c r="CL17" s="170">
        <f t="shared" si="7"/>
        <v>0</v>
      </c>
      <c r="CM17" s="170">
        <f t="shared" si="7"/>
        <v>0</v>
      </c>
      <c r="CN17" s="170">
        <f t="shared" si="7"/>
        <v>0</v>
      </c>
      <c r="CO17" s="170">
        <f t="shared" si="7"/>
        <v>0</v>
      </c>
      <c r="CP17" s="170">
        <f t="shared" si="7"/>
        <v>0</v>
      </c>
      <c r="CQ17" s="170">
        <f t="shared" si="7"/>
        <v>0</v>
      </c>
      <c r="CR17" s="170">
        <f t="shared" si="7"/>
        <v>0</v>
      </c>
      <c r="CS17" s="170">
        <f t="shared" si="7"/>
        <v>0</v>
      </c>
      <c r="CT17" s="170">
        <f t="shared" si="7"/>
        <v>0</v>
      </c>
      <c r="CU17" s="170">
        <f t="shared" si="7"/>
        <v>0</v>
      </c>
      <c r="CV17" s="170">
        <f t="shared" si="7"/>
        <v>0</v>
      </c>
      <c r="CW17" s="170">
        <f t="shared" si="7"/>
        <v>0</v>
      </c>
      <c r="CX17" s="170">
        <f t="shared" si="7"/>
        <v>0</v>
      </c>
      <c r="CY17" s="170">
        <f t="shared" si="7"/>
        <v>0</v>
      </c>
      <c r="CZ17" s="170">
        <f t="shared" si="7"/>
        <v>0</v>
      </c>
      <c r="DA17" s="170">
        <f t="shared" si="7"/>
        <v>0</v>
      </c>
      <c r="DB17" s="170">
        <f t="shared" si="7"/>
        <v>0</v>
      </c>
      <c r="DC17" s="170">
        <f t="shared" si="7"/>
        <v>0</v>
      </c>
      <c r="DD17" s="170">
        <f t="shared" si="7"/>
        <v>0</v>
      </c>
      <c r="DE17" s="170">
        <f t="shared" si="7"/>
        <v>0</v>
      </c>
      <c r="DF17" s="170">
        <f t="shared" si="7"/>
        <v>0</v>
      </c>
      <c r="DG17" s="170">
        <f t="shared" si="7"/>
        <v>0</v>
      </c>
      <c r="DH17" s="170">
        <f t="shared" si="7"/>
        <v>0</v>
      </c>
      <c r="DI17" s="170">
        <f t="shared" si="7"/>
        <v>0</v>
      </c>
      <c r="DJ17" s="170">
        <f t="shared" si="7"/>
        <v>0</v>
      </c>
      <c r="DK17" s="170">
        <f t="shared" si="7"/>
        <v>0</v>
      </c>
      <c r="DL17" s="170">
        <f t="shared" si="7"/>
        <v>0</v>
      </c>
      <c r="DM17" s="170">
        <f t="shared" si="7"/>
        <v>0</v>
      </c>
      <c r="DN17" s="170">
        <f t="shared" si="7"/>
        <v>0</v>
      </c>
      <c r="DO17" s="170">
        <f t="shared" si="7"/>
        <v>0</v>
      </c>
      <c r="DP17" s="170">
        <f t="shared" si="7"/>
        <v>0</v>
      </c>
      <c r="DQ17" s="170">
        <f t="shared" si="7"/>
        <v>0</v>
      </c>
      <c r="DR17" s="170">
        <f t="shared" si="7"/>
        <v>0</v>
      </c>
      <c r="DS17" s="170">
        <f t="shared" si="7"/>
        <v>0</v>
      </c>
      <c r="DT17" s="170">
        <f t="shared" si="7"/>
        <v>0</v>
      </c>
      <c r="DU17" s="170">
        <f t="shared" si="7"/>
        <v>0</v>
      </c>
      <c r="DV17" s="170">
        <f t="shared" si="7"/>
        <v>0</v>
      </c>
      <c r="DW17" s="170">
        <f t="shared" si="7"/>
        <v>0</v>
      </c>
      <c r="DX17" s="170">
        <f t="shared" si="7"/>
        <v>0</v>
      </c>
      <c r="DY17" s="170">
        <f t="shared" si="7"/>
        <v>0</v>
      </c>
      <c r="DZ17" s="170">
        <f t="shared" si="7"/>
        <v>0</v>
      </c>
      <c r="EA17" s="170">
        <f t="shared" si="7"/>
        <v>0</v>
      </c>
      <c r="EB17" s="170">
        <f t="shared" si="7"/>
        <v>0</v>
      </c>
      <c r="EC17" s="170">
        <f t="shared" si="7"/>
        <v>0</v>
      </c>
      <c r="ED17" s="170">
        <f t="shared" ref="ED17:GO17" si="8">SUM(ED12:ED16)</f>
        <v>0</v>
      </c>
      <c r="EE17" s="170">
        <f t="shared" si="8"/>
        <v>0</v>
      </c>
      <c r="EF17" s="170">
        <f t="shared" si="8"/>
        <v>0</v>
      </c>
      <c r="EG17" s="170">
        <f t="shared" si="8"/>
        <v>0</v>
      </c>
      <c r="EH17" s="170">
        <f t="shared" si="8"/>
        <v>0</v>
      </c>
      <c r="EI17" s="170">
        <f t="shared" si="8"/>
        <v>0</v>
      </c>
      <c r="EJ17" s="170">
        <f t="shared" si="8"/>
        <v>0</v>
      </c>
      <c r="EK17" s="170">
        <f t="shared" si="8"/>
        <v>0</v>
      </c>
      <c r="EL17" s="170">
        <f t="shared" si="8"/>
        <v>0</v>
      </c>
      <c r="EM17" s="170">
        <f t="shared" si="8"/>
        <v>0</v>
      </c>
      <c r="EN17" s="170">
        <f t="shared" si="8"/>
        <v>0</v>
      </c>
      <c r="EO17" s="170">
        <f t="shared" si="8"/>
        <v>0</v>
      </c>
      <c r="EP17" s="170">
        <f t="shared" si="8"/>
        <v>0</v>
      </c>
      <c r="EQ17" s="170">
        <f t="shared" si="8"/>
        <v>0</v>
      </c>
      <c r="ER17" s="170">
        <f t="shared" si="8"/>
        <v>0</v>
      </c>
      <c r="ES17" s="170">
        <f t="shared" si="8"/>
        <v>0</v>
      </c>
      <c r="ET17" s="170">
        <f t="shared" si="8"/>
        <v>0</v>
      </c>
      <c r="EU17" s="170">
        <f t="shared" si="8"/>
        <v>0</v>
      </c>
      <c r="EV17" s="170">
        <f t="shared" si="8"/>
        <v>0</v>
      </c>
      <c r="EW17" s="170">
        <f t="shared" si="8"/>
        <v>0</v>
      </c>
      <c r="EX17" s="170">
        <f t="shared" si="8"/>
        <v>0</v>
      </c>
      <c r="EY17" s="170">
        <f t="shared" si="8"/>
        <v>0</v>
      </c>
      <c r="EZ17" s="170">
        <f t="shared" si="8"/>
        <v>0</v>
      </c>
      <c r="FA17" s="170">
        <f t="shared" si="8"/>
        <v>0</v>
      </c>
      <c r="FB17" s="170">
        <f t="shared" si="8"/>
        <v>0</v>
      </c>
      <c r="FC17" s="170">
        <f t="shared" si="8"/>
        <v>0</v>
      </c>
      <c r="FD17" s="170">
        <f t="shared" si="8"/>
        <v>0</v>
      </c>
      <c r="FE17" s="170">
        <f t="shared" si="8"/>
        <v>0</v>
      </c>
      <c r="FF17" s="170">
        <f t="shared" si="8"/>
        <v>0</v>
      </c>
      <c r="FG17" s="170">
        <f t="shared" si="8"/>
        <v>0</v>
      </c>
      <c r="FH17" s="170">
        <f t="shared" si="8"/>
        <v>0</v>
      </c>
      <c r="FI17" s="170">
        <f t="shared" si="8"/>
        <v>0</v>
      </c>
      <c r="FJ17" s="170">
        <f t="shared" si="8"/>
        <v>0</v>
      </c>
      <c r="FK17" s="170">
        <f t="shared" si="8"/>
        <v>0</v>
      </c>
      <c r="FL17" s="170">
        <f t="shared" si="8"/>
        <v>0</v>
      </c>
      <c r="FM17" s="170">
        <f t="shared" si="8"/>
        <v>0</v>
      </c>
      <c r="FN17" s="170">
        <f t="shared" si="8"/>
        <v>0</v>
      </c>
      <c r="FO17" s="170">
        <f t="shared" si="8"/>
        <v>0</v>
      </c>
      <c r="FP17" s="170">
        <f t="shared" si="8"/>
        <v>0</v>
      </c>
      <c r="FQ17" s="170">
        <f t="shared" si="8"/>
        <v>0</v>
      </c>
      <c r="FR17" s="170">
        <f t="shared" si="8"/>
        <v>0</v>
      </c>
      <c r="FS17" s="170">
        <f t="shared" si="8"/>
        <v>0</v>
      </c>
      <c r="FT17" s="170">
        <f t="shared" si="8"/>
        <v>0</v>
      </c>
      <c r="FU17" s="170">
        <f t="shared" si="8"/>
        <v>0</v>
      </c>
      <c r="FV17" s="170">
        <f t="shared" si="8"/>
        <v>0</v>
      </c>
      <c r="FW17" s="170">
        <f t="shared" si="8"/>
        <v>0</v>
      </c>
      <c r="FX17" s="170">
        <f t="shared" si="8"/>
        <v>0</v>
      </c>
      <c r="FY17" s="170">
        <f t="shared" si="8"/>
        <v>0</v>
      </c>
      <c r="FZ17" s="170">
        <f t="shared" si="8"/>
        <v>0</v>
      </c>
      <c r="GA17" s="170">
        <f t="shared" si="8"/>
        <v>0</v>
      </c>
      <c r="GB17" s="170">
        <f t="shared" si="8"/>
        <v>0</v>
      </c>
      <c r="GC17" s="170">
        <f t="shared" si="8"/>
        <v>0</v>
      </c>
      <c r="GD17" s="170">
        <f t="shared" si="8"/>
        <v>0</v>
      </c>
      <c r="GE17" s="170">
        <f t="shared" si="8"/>
        <v>0</v>
      </c>
      <c r="GF17" s="170">
        <f t="shared" si="8"/>
        <v>0</v>
      </c>
      <c r="GG17" s="170">
        <f t="shared" si="8"/>
        <v>0</v>
      </c>
      <c r="GH17" s="170">
        <f t="shared" si="8"/>
        <v>0</v>
      </c>
      <c r="GI17" s="170">
        <f t="shared" si="8"/>
        <v>0</v>
      </c>
      <c r="GJ17" s="170">
        <f t="shared" si="8"/>
        <v>0</v>
      </c>
      <c r="GK17" s="170">
        <f t="shared" si="8"/>
        <v>0</v>
      </c>
      <c r="GL17" s="170">
        <f t="shared" si="8"/>
        <v>0</v>
      </c>
      <c r="GM17" s="170">
        <f t="shared" si="8"/>
        <v>0</v>
      </c>
      <c r="GN17" s="170">
        <f t="shared" si="8"/>
        <v>0</v>
      </c>
      <c r="GO17" s="170">
        <f t="shared" si="8"/>
        <v>0</v>
      </c>
      <c r="GP17" s="170">
        <f t="shared" ref="GP17:JA17" si="9">SUM(GP12:GP16)</f>
        <v>0</v>
      </c>
      <c r="GQ17" s="170">
        <f t="shared" si="9"/>
        <v>0</v>
      </c>
      <c r="GR17" s="170">
        <f t="shared" si="9"/>
        <v>0</v>
      </c>
      <c r="GS17" s="170">
        <f t="shared" si="9"/>
        <v>0</v>
      </c>
      <c r="GT17" s="170">
        <f t="shared" si="9"/>
        <v>0</v>
      </c>
      <c r="GU17" s="170">
        <f t="shared" si="9"/>
        <v>0</v>
      </c>
      <c r="GV17" s="170">
        <f t="shared" si="9"/>
        <v>0</v>
      </c>
      <c r="GW17" s="170">
        <f t="shared" si="9"/>
        <v>0</v>
      </c>
      <c r="GX17" s="170">
        <f t="shared" si="9"/>
        <v>0</v>
      </c>
      <c r="GY17" s="170">
        <f t="shared" si="9"/>
        <v>0</v>
      </c>
      <c r="GZ17" s="170">
        <f t="shared" si="9"/>
        <v>0</v>
      </c>
      <c r="HA17" s="170">
        <f t="shared" si="9"/>
        <v>0</v>
      </c>
      <c r="HB17" s="170">
        <f t="shared" si="9"/>
        <v>0</v>
      </c>
      <c r="HC17" s="170">
        <f t="shared" si="9"/>
        <v>0</v>
      </c>
      <c r="HD17" s="170">
        <f t="shared" si="9"/>
        <v>0</v>
      </c>
      <c r="HE17" s="170">
        <f t="shared" si="9"/>
        <v>0</v>
      </c>
      <c r="HF17" s="170">
        <f t="shared" si="9"/>
        <v>0</v>
      </c>
      <c r="HG17" s="170">
        <f t="shared" si="9"/>
        <v>0</v>
      </c>
      <c r="HH17" s="170">
        <f t="shared" si="9"/>
        <v>0</v>
      </c>
      <c r="HI17" s="170">
        <f t="shared" si="9"/>
        <v>0</v>
      </c>
      <c r="HJ17" s="170">
        <f t="shared" si="9"/>
        <v>0</v>
      </c>
      <c r="HK17" s="170">
        <f t="shared" si="9"/>
        <v>0</v>
      </c>
      <c r="HL17" s="170">
        <f t="shared" si="9"/>
        <v>0</v>
      </c>
      <c r="HM17" s="170">
        <f t="shared" si="9"/>
        <v>0</v>
      </c>
      <c r="HN17" s="170">
        <f t="shared" si="9"/>
        <v>0</v>
      </c>
      <c r="HO17" s="170">
        <f t="shared" si="9"/>
        <v>0</v>
      </c>
      <c r="HP17" s="170">
        <f t="shared" si="9"/>
        <v>0</v>
      </c>
      <c r="HQ17" s="170">
        <f t="shared" si="9"/>
        <v>0</v>
      </c>
      <c r="HR17" s="170">
        <f t="shared" si="9"/>
        <v>0</v>
      </c>
      <c r="HS17" s="170">
        <f t="shared" si="9"/>
        <v>0</v>
      </c>
      <c r="HT17" s="170">
        <f t="shared" si="9"/>
        <v>0</v>
      </c>
      <c r="HU17" s="170">
        <f t="shared" si="9"/>
        <v>0</v>
      </c>
      <c r="HV17" s="170">
        <f t="shared" si="9"/>
        <v>0</v>
      </c>
      <c r="HW17" s="170">
        <f t="shared" si="9"/>
        <v>0</v>
      </c>
      <c r="HX17" s="170">
        <f t="shared" si="9"/>
        <v>0</v>
      </c>
      <c r="HY17" s="170">
        <f t="shared" si="9"/>
        <v>0</v>
      </c>
      <c r="HZ17" s="170">
        <f t="shared" si="9"/>
        <v>0</v>
      </c>
      <c r="IA17" s="170">
        <f t="shared" si="9"/>
        <v>0</v>
      </c>
      <c r="IB17" s="170">
        <f t="shared" si="9"/>
        <v>0</v>
      </c>
      <c r="IC17" s="170">
        <f t="shared" si="9"/>
        <v>0</v>
      </c>
      <c r="ID17" s="170">
        <f t="shared" si="9"/>
        <v>0</v>
      </c>
      <c r="IE17" s="170">
        <f t="shared" si="9"/>
        <v>0</v>
      </c>
      <c r="IF17" s="170">
        <f t="shared" si="9"/>
        <v>0</v>
      </c>
      <c r="IG17" s="170">
        <f t="shared" si="9"/>
        <v>0</v>
      </c>
      <c r="IH17" s="170">
        <f t="shared" si="9"/>
        <v>0</v>
      </c>
      <c r="II17" s="170">
        <f t="shared" si="9"/>
        <v>0</v>
      </c>
      <c r="IJ17" s="170">
        <f t="shared" si="9"/>
        <v>0</v>
      </c>
      <c r="IK17" s="170">
        <f t="shared" si="9"/>
        <v>0</v>
      </c>
      <c r="IL17" s="170">
        <f t="shared" si="9"/>
        <v>0</v>
      </c>
      <c r="IM17" s="170">
        <f t="shared" si="9"/>
        <v>0</v>
      </c>
      <c r="IN17" s="170">
        <f t="shared" si="9"/>
        <v>0</v>
      </c>
      <c r="IO17" s="170">
        <f t="shared" si="9"/>
        <v>0</v>
      </c>
      <c r="IP17" s="170">
        <f t="shared" si="9"/>
        <v>0</v>
      </c>
      <c r="IQ17" s="170">
        <f t="shared" si="9"/>
        <v>0</v>
      </c>
      <c r="IR17" s="170">
        <f t="shared" si="9"/>
        <v>0</v>
      </c>
      <c r="IS17" s="170">
        <f t="shared" si="9"/>
        <v>0</v>
      </c>
      <c r="IT17" s="170">
        <f t="shared" si="9"/>
        <v>0</v>
      </c>
      <c r="IU17" s="170">
        <f t="shared" si="9"/>
        <v>0</v>
      </c>
      <c r="IV17" s="170">
        <f t="shared" si="9"/>
        <v>0</v>
      </c>
      <c r="IW17" s="170">
        <f t="shared" si="9"/>
        <v>0</v>
      </c>
      <c r="IX17" s="170">
        <f t="shared" si="9"/>
        <v>0</v>
      </c>
      <c r="IY17" s="170">
        <f t="shared" si="9"/>
        <v>0</v>
      </c>
      <c r="IZ17" s="170">
        <f t="shared" si="9"/>
        <v>0</v>
      </c>
      <c r="JA17" s="170">
        <f t="shared" si="9"/>
        <v>0</v>
      </c>
      <c r="JB17" s="170">
        <f t="shared" ref="JB17:JP17" si="10">SUM(JB12:JB16)</f>
        <v>0</v>
      </c>
      <c r="JC17" s="170">
        <f t="shared" si="10"/>
        <v>0</v>
      </c>
      <c r="JD17" s="170">
        <f t="shared" si="10"/>
        <v>0</v>
      </c>
      <c r="JE17" s="170">
        <f t="shared" si="10"/>
        <v>0</v>
      </c>
      <c r="JF17" s="170">
        <f t="shared" si="10"/>
        <v>0</v>
      </c>
      <c r="JG17" s="170">
        <f t="shared" si="10"/>
        <v>0</v>
      </c>
      <c r="JH17" s="170">
        <f t="shared" si="10"/>
        <v>0</v>
      </c>
      <c r="JI17" s="170">
        <f t="shared" si="10"/>
        <v>0</v>
      </c>
      <c r="JJ17" s="170">
        <f t="shared" si="10"/>
        <v>0</v>
      </c>
      <c r="JK17" s="170">
        <f t="shared" si="10"/>
        <v>0</v>
      </c>
      <c r="JL17" s="170">
        <f t="shared" si="10"/>
        <v>0</v>
      </c>
      <c r="JM17" s="170">
        <f t="shared" si="10"/>
        <v>0</v>
      </c>
      <c r="JN17" s="170">
        <f t="shared" si="10"/>
        <v>0</v>
      </c>
      <c r="JO17" s="170">
        <f t="shared" si="10"/>
        <v>0</v>
      </c>
      <c r="JP17" s="170">
        <f t="shared" si="10"/>
        <v>0</v>
      </c>
    </row>
    <row r="21" spans="1:276" s="177" customFormat="1">
      <c r="E21" s="178"/>
    </row>
    <row r="22" spans="1:276" s="177" customFormat="1">
      <c r="E22" s="178"/>
    </row>
    <row r="23" spans="1:276">
      <c r="A23" s="224" t="s">
        <v>214</v>
      </c>
      <c r="B23" s="225"/>
    </row>
    <row r="24" spans="1:276" s="151" customFormat="1">
      <c r="A24" s="150" t="str">
        <f>A11</f>
        <v>ID Hubspot</v>
      </c>
      <c r="B24" s="150" t="str">
        <f>B11</f>
        <v>Cliente</v>
      </c>
      <c r="C24" s="150" t="str">
        <f>C11</f>
        <v>Proyecto</v>
      </c>
      <c r="D24" s="150" t="str">
        <f>D11</f>
        <v>Item</v>
      </c>
      <c r="E24" s="185" t="s">
        <v>215</v>
      </c>
      <c r="F24" s="186" t="str">
        <f>F11</f>
        <v>2025_08_Ago</v>
      </c>
      <c r="G24" s="186" t="str">
        <f t="shared" ref="G24:BR24" si="11">G11</f>
        <v>2025_09_Sep</v>
      </c>
      <c r="H24" s="186" t="str">
        <f t="shared" si="11"/>
        <v>2025_10_Oct</v>
      </c>
      <c r="I24" s="186" t="str">
        <f t="shared" si="11"/>
        <v>2025_11_Nov</v>
      </c>
      <c r="J24" s="186" t="str">
        <f t="shared" si="11"/>
        <v>2025_12_Dic</v>
      </c>
      <c r="K24" s="186" t="str">
        <f t="shared" si="11"/>
        <v>2026_01_Ene</v>
      </c>
      <c r="L24" s="186" t="str">
        <f t="shared" si="11"/>
        <v>2026_02_Feb</v>
      </c>
      <c r="M24" s="186" t="str">
        <f t="shared" si="11"/>
        <v>2026_03_Mar</v>
      </c>
      <c r="N24" s="186" t="str">
        <f t="shared" si="11"/>
        <v>2026_04_Abr</v>
      </c>
      <c r="O24" s="186" t="str">
        <f t="shared" si="11"/>
        <v>2026_05_May</v>
      </c>
      <c r="P24" s="186" t="str">
        <f t="shared" si="11"/>
        <v>2026_06_Jun</v>
      </c>
      <c r="Q24" s="186" t="str">
        <f t="shared" si="11"/>
        <v>2026_07_Jul</v>
      </c>
      <c r="R24" s="186" t="str">
        <f t="shared" si="11"/>
        <v>2026_08_Ago</v>
      </c>
      <c r="S24" s="186" t="str">
        <f t="shared" si="11"/>
        <v>2026_09_Sep</v>
      </c>
      <c r="T24" s="186">
        <f t="shared" si="11"/>
        <v>0</v>
      </c>
      <c r="U24" s="186">
        <f t="shared" si="11"/>
        <v>0</v>
      </c>
      <c r="V24" s="186">
        <f t="shared" si="11"/>
        <v>0</v>
      </c>
      <c r="W24" s="186">
        <f t="shared" si="11"/>
        <v>0</v>
      </c>
      <c r="X24" s="186">
        <f t="shared" si="11"/>
        <v>0</v>
      </c>
      <c r="Y24" s="186">
        <f t="shared" si="11"/>
        <v>0</v>
      </c>
      <c r="Z24" s="186">
        <f t="shared" si="11"/>
        <v>0</v>
      </c>
      <c r="AA24" s="186">
        <f t="shared" si="11"/>
        <v>0</v>
      </c>
      <c r="AB24" s="186">
        <f t="shared" si="11"/>
        <v>0</v>
      </c>
      <c r="AC24" s="186">
        <f t="shared" si="11"/>
        <v>0</v>
      </c>
      <c r="AD24" s="186">
        <f t="shared" si="11"/>
        <v>0</v>
      </c>
      <c r="AE24" s="186">
        <f t="shared" si="11"/>
        <v>0</v>
      </c>
      <c r="AF24" s="186">
        <f t="shared" si="11"/>
        <v>0</v>
      </c>
      <c r="AG24" s="186">
        <f t="shared" si="11"/>
        <v>0</v>
      </c>
      <c r="AH24" s="186">
        <f t="shared" si="11"/>
        <v>0</v>
      </c>
      <c r="AI24" s="186">
        <f t="shared" si="11"/>
        <v>0</v>
      </c>
      <c r="AJ24" s="186">
        <f t="shared" si="11"/>
        <v>0</v>
      </c>
      <c r="AK24" s="186">
        <f t="shared" si="11"/>
        <v>0</v>
      </c>
      <c r="AL24" s="186">
        <f t="shared" si="11"/>
        <v>0</v>
      </c>
      <c r="AM24" s="186">
        <f t="shared" si="11"/>
        <v>0</v>
      </c>
      <c r="AN24" s="186">
        <f t="shared" si="11"/>
        <v>0</v>
      </c>
      <c r="AO24" s="186">
        <f t="shared" si="11"/>
        <v>0</v>
      </c>
      <c r="AP24" s="186">
        <f t="shared" si="11"/>
        <v>0</v>
      </c>
      <c r="AQ24" s="186">
        <f t="shared" si="11"/>
        <v>0</v>
      </c>
      <c r="AR24" s="186">
        <f t="shared" si="11"/>
        <v>0</v>
      </c>
      <c r="AS24" s="186">
        <f t="shared" si="11"/>
        <v>0</v>
      </c>
      <c r="AT24" s="186">
        <f t="shared" si="11"/>
        <v>0</v>
      </c>
      <c r="AU24" s="186">
        <f t="shared" si="11"/>
        <v>0</v>
      </c>
      <c r="AV24" s="186">
        <f t="shared" si="11"/>
        <v>0</v>
      </c>
      <c r="AW24" s="186">
        <f t="shared" si="11"/>
        <v>0</v>
      </c>
      <c r="AX24" s="186">
        <f t="shared" si="11"/>
        <v>0</v>
      </c>
      <c r="AY24" s="186">
        <f t="shared" si="11"/>
        <v>0</v>
      </c>
      <c r="AZ24" s="186">
        <f t="shared" si="11"/>
        <v>0</v>
      </c>
      <c r="BA24" s="186">
        <f t="shared" si="11"/>
        <v>0</v>
      </c>
      <c r="BB24" s="186">
        <f t="shared" si="11"/>
        <v>0</v>
      </c>
      <c r="BC24" s="186">
        <f t="shared" si="11"/>
        <v>0</v>
      </c>
      <c r="BD24" s="186">
        <f t="shared" si="11"/>
        <v>0</v>
      </c>
      <c r="BE24" s="186">
        <f t="shared" si="11"/>
        <v>0</v>
      </c>
      <c r="BF24" s="186">
        <f t="shared" si="11"/>
        <v>0</v>
      </c>
      <c r="BG24" s="186">
        <f t="shared" si="11"/>
        <v>0</v>
      </c>
      <c r="BH24" s="186">
        <f t="shared" si="11"/>
        <v>0</v>
      </c>
      <c r="BI24" s="186">
        <f t="shared" si="11"/>
        <v>0</v>
      </c>
      <c r="BJ24" s="186">
        <f t="shared" si="11"/>
        <v>0</v>
      </c>
      <c r="BK24" s="186">
        <f t="shared" si="11"/>
        <v>0</v>
      </c>
      <c r="BL24" s="186">
        <f t="shared" si="11"/>
        <v>0</v>
      </c>
      <c r="BM24" s="186">
        <f t="shared" si="11"/>
        <v>0</v>
      </c>
      <c r="BN24" s="186">
        <f t="shared" si="11"/>
        <v>0</v>
      </c>
      <c r="BO24" s="186">
        <f t="shared" si="11"/>
        <v>0</v>
      </c>
      <c r="BP24" s="186">
        <f t="shared" si="11"/>
        <v>0</v>
      </c>
      <c r="BQ24" s="186">
        <f t="shared" si="11"/>
        <v>0</v>
      </c>
      <c r="BR24" s="186">
        <f t="shared" si="11"/>
        <v>0</v>
      </c>
      <c r="BS24" s="186">
        <f t="shared" ref="BS24:ED24" si="12">BS11</f>
        <v>0</v>
      </c>
      <c r="BT24" s="186">
        <f t="shared" si="12"/>
        <v>0</v>
      </c>
      <c r="BU24" s="186">
        <f t="shared" si="12"/>
        <v>0</v>
      </c>
      <c r="BV24" s="186">
        <f t="shared" si="12"/>
        <v>0</v>
      </c>
      <c r="BW24" s="186">
        <f t="shared" si="12"/>
        <v>0</v>
      </c>
      <c r="BX24" s="186">
        <f t="shared" si="12"/>
        <v>0</v>
      </c>
      <c r="BY24" s="186">
        <f t="shared" si="12"/>
        <v>0</v>
      </c>
      <c r="BZ24" s="186">
        <f t="shared" si="12"/>
        <v>0</v>
      </c>
      <c r="CA24" s="186">
        <f t="shared" si="12"/>
        <v>0</v>
      </c>
      <c r="CB24" s="186">
        <f t="shared" si="12"/>
        <v>0</v>
      </c>
      <c r="CC24" s="186">
        <f t="shared" si="12"/>
        <v>0</v>
      </c>
      <c r="CD24" s="186">
        <f t="shared" si="12"/>
        <v>0</v>
      </c>
      <c r="CE24" s="186">
        <f t="shared" si="12"/>
        <v>0</v>
      </c>
      <c r="CF24" s="186">
        <f t="shared" si="12"/>
        <v>0</v>
      </c>
      <c r="CG24" s="186">
        <f t="shared" si="12"/>
        <v>0</v>
      </c>
      <c r="CH24" s="186">
        <f t="shared" si="12"/>
        <v>0</v>
      </c>
      <c r="CI24" s="186">
        <f t="shared" si="12"/>
        <v>0</v>
      </c>
      <c r="CJ24" s="186">
        <f t="shared" si="12"/>
        <v>0</v>
      </c>
      <c r="CK24" s="186">
        <f t="shared" si="12"/>
        <v>0</v>
      </c>
      <c r="CL24" s="186">
        <f t="shared" si="12"/>
        <v>0</v>
      </c>
      <c r="CM24" s="186">
        <f t="shared" si="12"/>
        <v>0</v>
      </c>
      <c r="CN24" s="186">
        <f t="shared" si="12"/>
        <v>0</v>
      </c>
      <c r="CO24" s="186">
        <f t="shared" si="12"/>
        <v>0</v>
      </c>
      <c r="CP24" s="186">
        <f t="shared" si="12"/>
        <v>0</v>
      </c>
      <c r="CQ24" s="186">
        <f t="shared" si="12"/>
        <v>0</v>
      </c>
      <c r="CR24" s="186">
        <f t="shared" si="12"/>
        <v>0</v>
      </c>
      <c r="CS24" s="186">
        <f t="shared" si="12"/>
        <v>0</v>
      </c>
      <c r="CT24" s="186">
        <f t="shared" si="12"/>
        <v>0</v>
      </c>
      <c r="CU24" s="186">
        <f t="shared" si="12"/>
        <v>0</v>
      </c>
      <c r="CV24" s="186">
        <f t="shared" si="12"/>
        <v>0</v>
      </c>
      <c r="CW24" s="186">
        <f t="shared" si="12"/>
        <v>0</v>
      </c>
      <c r="CX24" s="186">
        <f t="shared" si="12"/>
        <v>0</v>
      </c>
      <c r="CY24" s="186">
        <f t="shared" si="12"/>
        <v>0</v>
      </c>
      <c r="CZ24" s="186">
        <f t="shared" si="12"/>
        <v>0</v>
      </c>
      <c r="DA24" s="186">
        <f t="shared" si="12"/>
        <v>0</v>
      </c>
      <c r="DB24" s="186">
        <f t="shared" si="12"/>
        <v>0</v>
      </c>
      <c r="DC24" s="186">
        <f t="shared" si="12"/>
        <v>0</v>
      </c>
      <c r="DD24" s="186">
        <f t="shared" si="12"/>
        <v>0</v>
      </c>
      <c r="DE24" s="186">
        <f t="shared" si="12"/>
        <v>0</v>
      </c>
      <c r="DF24" s="186">
        <f t="shared" si="12"/>
        <v>0</v>
      </c>
      <c r="DG24" s="186">
        <f t="shared" si="12"/>
        <v>0</v>
      </c>
      <c r="DH24" s="186">
        <f t="shared" si="12"/>
        <v>0</v>
      </c>
      <c r="DI24" s="186">
        <f t="shared" si="12"/>
        <v>0</v>
      </c>
      <c r="DJ24" s="186">
        <f t="shared" si="12"/>
        <v>0</v>
      </c>
      <c r="DK24" s="186">
        <f t="shared" si="12"/>
        <v>0</v>
      </c>
      <c r="DL24" s="186">
        <f t="shared" si="12"/>
        <v>0</v>
      </c>
      <c r="DM24" s="186">
        <f t="shared" si="12"/>
        <v>0</v>
      </c>
      <c r="DN24" s="186">
        <f t="shared" si="12"/>
        <v>0</v>
      </c>
      <c r="DO24" s="186">
        <f t="shared" si="12"/>
        <v>0</v>
      </c>
      <c r="DP24" s="186">
        <f t="shared" si="12"/>
        <v>0</v>
      </c>
      <c r="DQ24" s="186">
        <f t="shared" si="12"/>
        <v>0</v>
      </c>
      <c r="DR24" s="186">
        <f t="shared" si="12"/>
        <v>0</v>
      </c>
      <c r="DS24" s="186">
        <f t="shared" si="12"/>
        <v>0</v>
      </c>
      <c r="DT24" s="186">
        <f t="shared" si="12"/>
        <v>0</v>
      </c>
      <c r="DU24" s="186">
        <f t="shared" si="12"/>
        <v>0</v>
      </c>
      <c r="DV24" s="186">
        <f t="shared" si="12"/>
        <v>0</v>
      </c>
      <c r="DW24" s="186">
        <f t="shared" si="12"/>
        <v>0</v>
      </c>
      <c r="DX24" s="186">
        <f t="shared" si="12"/>
        <v>0</v>
      </c>
      <c r="DY24" s="186">
        <f t="shared" si="12"/>
        <v>0</v>
      </c>
      <c r="DZ24" s="186">
        <f t="shared" si="12"/>
        <v>0</v>
      </c>
      <c r="EA24" s="186">
        <f t="shared" si="12"/>
        <v>0</v>
      </c>
      <c r="EB24" s="186">
        <f t="shared" si="12"/>
        <v>0</v>
      </c>
      <c r="EC24" s="186">
        <f t="shared" si="12"/>
        <v>0</v>
      </c>
      <c r="ED24" s="186">
        <f t="shared" si="12"/>
        <v>0</v>
      </c>
      <c r="EE24" s="186">
        <f t="shared" ref="EE24:FZ24" si="13">EE11</f>
        <v>0</v>
      </c>
      <c r="EF24" s="186">
        <f t="shared" si="13"/>
        <v>0</v>
      </c>
      <c r="EG24" s="186">
        <f t="shared" si="13"/>
        <v>0</v>
      </c>
      <c r="EH24" s="186">
        <f t="shared" si="13"/>
        <v>0</v>
      </c>
      <c r="EI24" s="186">
        <f t="shared" si="13"/>
        <v>0</v>
      </c>
      <c r="EJ24" s="186">
        <f t="shared" si="13"/>
        <v>0</v>
      </c>
      <c r="EK24" s="186">
        <f t="shared" si="13"/>
        <v>0</v>
      </c>
      <c r="EL24" s="186">
        <f t="shared" si="13"/>
        <v>0</v>
      </c>
      <c r="EM24" s="186">
        <f t="shared" si="13"/>
        <v>0</v>
      </c>
      <c r="EN24" s="186">
        <f t="shared" si="13"/>
        <v>0</v>
      </c>
      <c r="EO24" s="186">
        <f t="shared" si="13"/>
        <v>0</v>
      </c>
      <c r="EP24" s="186">
        <f t="shared" si="13"/>
        <v>0</v>
      </c>
      <c r="EQ24" s="186">
        <f t="shared" si="13"/>
        <v>0</v>
      </c>
      <c r="ER24" s="186">
        <f t="shared" si="13"/>
        <v>0</v>
      </c>
      <c r="ES24" s="186">
        <f t="shared" si="13"/>
        <v>0</v>
      </c>
      <c r="ET24" s="186">
        <f t="shared" si="13"/>
        <v>0</v>
      </c>
      <c r="EU24" s="186">
        <f t="shared" si="13"/>
        <v>0</v>
      </c>
      <c r="EV24" s="186">
        <f t="shared" si="13"/>
        <v>0</v>
      </c>
      <c r="EW24" s="186">
        <f t="shared" si="13"/>
        <v>0</v>
      </c>
      <c r="EX24" s="186">
        <f t="shared" si="13"/>
        <v>0</v>
      </c>
      <c r="EY24" s="186">
        <f t="shared" si="13"/>
        <v>0</v>
      </c>
      <c r="EZ24" s="186">
        <f t="shared" si="13"/>
        <v>0</v>
      </c>
      <c r="FA24" s="186">
        <f t="shared" si="13"/>
        <v>0</v>
      </c>
      <c r="FB24" s="186">
        <f t="shared" si="13"/>
        <v>0</v>
      </c>
      <c r="FC24" s="186">
        <f t="shared" si="13"/>
        <v>0</v>
      </c>
      <c r="FD24" s="186">
        <f t="shared" si="13"/>
        <v>0</v>
      </c>
      <c r="FE24" s="186">
        <f t="shared" si="13"/>
        <v>0</v>
      </c>
      <c r="FF24" s="186">
        <f t="shared" si="13"/>
        <v>0</v>
      </c>
      <c r="FG24" s="186">
        <f t="shared" si="13"/>
        <v>0</v>
      </c>
      <c r="FH24" s="186">
        <f t="shared" si="13"/>
        <v>0</v>
      </c>
      <c r="FI24" s="186">
        <f t="shared" si="13"/>
        <v>0</v>
      </c>
      <c r="FJ24" s="186">
        <f t="shared" si="13"/>
        <v>0</v>
      </c>
      <c r="FK24" s="186">
        <f t="shared" si="13"/>
        <v>0</v>
      </c>
      <c r="FL24" s="186">
        <f t="shared" si="13"/>
        <v>0</v>
      </c>
      <c r="FM24" s="186">
        <f t="shared" si="13"/>
        <v>0</v>
      </c>
      <c r="FN24" s="186">
        <f t="shared" si="13"/>
        <v>0</v>
      </c>
      <c r="FO24" s="186">
        <f t="shared" si="13"/>
        <v>0</v>
      </c>
      <c r="FP24" s="186">
        <f t="shared" si="13"/>
        <v>0</v>
      </c>
      <c r="FQ24" s="186">
        <f t="shared" si="13"/>
        <v>0</v>
      </c>
      <c r="FR24" s="186">
        <f t="shared" si="13"/>
        <v>0</v>
      </c>
      <c r="FS24" s="186">
        <f t="shared" si="13"/>
        <v>0</v>
      </c>
      <c r="FT24" s="186">
        <f t="shared" si="13"/>
        <v>0</v>
      </c>
      <c r="FU24" s="186">
        <f t="shared" si="13"/>
        <v>0</v>
      </c>
      <c r="FV24" s="186">
        <f t="shared" si="13"/>
        <v>0</v>
      </c>
      <c r="FW24" s="186">
        <f t="shared" si="13"/>
        <v>0</v>
      </c>
      <c r="FX24" s="186">
        <f t="shared" si="13"/>
        <v>0</v>
      </c>
      <c r="FY24" s="186">
        <f t="shared" si="13"/>
        <v>0</v>
      </c>
      <c r="FZ24" s="186">
        <f t="shared" si="13"/>
        <v>0</v>
      </c>
    </row>
    <row r="25" spans="1:276" s="183" customFormat="1" ht="13.5">
      <c r="A25" s="179" t="str">
        <f>A12</f>
        <v>A4132</v>
      </c>
      <c r="B25" s="179" t="str">
        <f>B12</f>
        <v>DIAN</v>
      </c>
      <c r="C25" s="179" t="str">
        <f>C12</f>
        <v>Portal</v>
      </c>
      <c r="D25" s="179" t="s">
        <v>216</v>
      </c>
      <c r="E25" s="180">
        <f>Total!G4</f>
        <v>13668571.428571427</v>
      </c>
      <c r="F25" s="181">
        <v>97722022.5</v>
      </c>
      <c r="G25" s="181">
        <v>97722022.5</v>
      </c>
      <c r="H25" s="181">
        <v>97722022.5</v>
      </c>
      <c r="I25" s="181">
        <v>97722022.5</v>
      </c>
      <c r="J25" s="181">
        <v>97722022.5</v>
      </c>
      <c r="K25" s="181">
        <v>97722022.5</v>
      </c>
      <c r="L25" s="181">
        <v>0</v>
      </c>
      <c r="M25" s="181">
        <v>0</v>
      </c>
      <c r="N25" s="181">
        <v>0</v>
      </c>
      <c r="O25" s="181">
        <v>0</v>
      </c>
      <c r="P25" s="181">
        <v>0</v>
      </c>
      <c r="Q25" s="181">
        <v>0</v>
      </c>
      <c r="R25" s="181">
        <v>0</v>
      </c>
      <c r="S25" s="181">
        <v>0</v>
      </c>
      <c r="T25" s="181"/>
      <c r="U25" s="182"/>
      <c r="V25" s="182"/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  <c r="AG25" s="182"/>
      <c r="AH25" s="182"/>
      <c r="AI25" s="182"/>
      <c r="AJ25" s="182"/>
      <c r="AK25" s="182"/>
      <c r="AL25" s="182"/>
      <c r="AM25" s="182"/>
      <c r="AN25" s="182"/>
      <c r="AO25" s="182"/>
      <c r="AP25" s="182"/>
      <c r="AQ25" s="182"/>
      <c r="AR25" s="182"/>
      <c r="AS25" s="182"/>
      <c r="AT25" s="182"/>
      <c r="AU25" s="182"/>
      <c r="AV25" s="182"/>
      <c r="AW25" s="182"/>
      <c r="AX25" s="182"/>
      <c r="AY25" s="182"/>
      <c r="AZ25" s="182"/>
      <c r="BA25" s="182"/>
      <c r="BB25" s="182"/>
      <c r="BC25" s="182"/>
      <c r="BD25" s="182"/>
      <c r="BE25" s="182"/>
      <c r="BF25" s="182"/>
      <c r="BG25" s="182"/>
      <c r="BH25" s="182"/>
      <c r="BI25" s="182"/>
      <c r="BJ25" s="182"/>
      <c r="BK25" s="182"/>
      <c r="BL25" s="182"/>
      <c r="BM25" s="182"/>
      <c r="BN25" s="182"/>
      <c r="BO25" s="182"/>
      <c r="BP25" s="182"/>
      <c r="BQ25" s="182"/>
      <c r="BR25" s="182"/>
      <c r="BS25" s="182"/>
      <c r="BT25" s="182"/>
      <c r="BU25" s="182"/>
      <c r="BV25" s="182"/>
      <c r="BW25" s="182"/>
      <c r="BX25" s="182"/>
      <c r="BY25" s="182"/>
      <c r="BZ25" s="182"/>
      <c r="CA25" s="182"/>
      <c r="CB25" s="182"/>
      <c r="CC25" s="182"/>
      <c r="CD25" s="182"/>
      <c r="CE25" s="182"/>
      <c r="CF25" s="182"/>
      <c r="CG25" s="182"/>
      <c r="CH25" s="182"/>
      <c r="CI25" s="182"/>
      <c r="CJ25" s="182"/>
      <c r="CK25" s="182"/>
      <c r="CL25" s="182"/>
      <c r="CM25" s="182"/>
      <c r="CN25" s="182"/>
      <c r="CO25" s="182"/>
      <c r="CP25" s="182"/>
      <c r="CQ25" s="182"/>
      <c r="CR25" s="182"/>
      <c r="CS25" s="182"/>
      <c r="CT25" s="182"/>
      <c r="CU25" s="182"/>
      <c r="CV25" s="182"/>
      <c r="CW25" s="182"/>
      <c r="CX25" s="182"/>
      <c r="CY25" s="182"/>
      <c r="CZ25" s="182"/>
      <c r="DA25" s="182"/>
      <c r="DB25" s="182"/>
      <c r="DC25" s="182"/>
      <c r="DD25" s="182"/>
      <c r="DE25" s="182"/>
      <c r="DF25" s="182"/>
      <c r="DG25" s="182"/>
      <c r="DH25" s="182"/>
      <c r="DI25" s="182"/>
      <c r="DJ25" s="182"/>
      <c r="DK25" s="182"/>
      <c r="DL25" s="182"/>
      <c r="DM25" s="182"/>
      <c r="DN25" s="182"/>
      <c r="DO25" s="182"/>
      <c r="DP25" s="182"/>
      <c r="DQ25" s="182"/>
      <c r="DR25" s="182"/>
      <c r="DS25" s="182"/>
      <c r="DT25" s="182"/>
      <c r="DU25" s="182"/>
      <c r="DV25" s="182"/>
      <c r="DW25" s="182"/>
      <c r="DX25" s="182"/>
      <c r="DY25" s="182"/>
      <c r="DZ25" s="182"/>
      <c r="EA25" s="182"/>
      <c r="EB25" s="182"/>
      <c r="EC25" s="182"/>
      <c r="ED25" s="182"/>
      <c r="EE25" s="182"/>
      <c r="EF25" s="182"/>
      <c r="EG25" s="182"/>
      <c r="EH25" s="182"/>
      <c r="EI25" s="182"/>
      <c r="EJ25" s="182"/>
      <c r="EK25" s="182"/>
      <c r="EL25" s="182"/>
      <c r="EM25" s="182"/>
      <c r="EN25" s="182"/>
      <c r="EO25" s="182"/>
      <c r="EP25" s="182"/>
      <c r="EQ25" s="182"/>
      <c r="ER25" s="182"/>
      <c r="ES25" s="182"/>
      <c r="ET25" s="182"/>
      <c r="EU25" s="182"/>
      <c r="EV25" s="182"/>
      <c r="EW25" s="182"/>
      <c r="EX25" s="182"/>
      <c r="EY25" s="182"/>
      <c r="EZ25" s="182"/>
      <c r="FA25" s="182"/>
      <c r="FB25" s="182"/>
      <c r="FC25" s="182"/>
      <c r="FD25" s="182"/>
      <c r="FE25" s="182"/>
      <c r="FF25" s="182"/>
      <c r="FG25" s="182"/>
      <c r="FH25" s="182"/>
      <c r="FI25" s="182"/>
      <c r="FJ25" s="182"/>
      <c r="FK25" s="182"/>
      <c r="FL25" s="182"/>
      <c r="FM25" s="182"/>
      <c r="FN25" s="182"/>
      <c r="FO25" s="182"/>
      <c r="FP25" s="182"/>
      <c r="FQ25" s="182"/>
      <c r="FR25" s="182"/>
      <c r="FS25" s="182"/>
      <c r="FT25" s="182"/>
      <c r="FU25" s="182"/>
      <c r="FV25" s="182"/>
      <c r="FW25" s="182"/>
      <c r="FX25" s="182"/>
      <c r="FY25" s="182"/>
      <c r="FZ25" s="182"/>
    </row>
    <row r="26" spans="1:276" s="137" customFormat="1" ht="13.5">
      <c r="A26" s="119" t="str">
        <f>A13</f>
        <v>A4132</v>
      </c>
      <c r="B26" s="119" t="str">
        <f>B13</f>
        <v>DIAN</v>
      </c>
      <c r="C26" s="119" t="str">
        <f>C13</f>
        <v>Portal</v>
      </c>
      <c r="D26" s="119" t="s">
        <v>217</v>
      </c>
      <c r="E26" s="169">
        <f>Total!G6</f>
        <v>0</v>
      </c>
      <c r="F26" s="138">
        <v>0</v>
      </c>
      <c r="G26" s="138">
        <v>0</v>
      </c>
      <c r="H26" s="138">
        <v>31480920</v>
      </c>
      <c r="I26" s="138">
        <v>31480920</v>
      </c>
      <c r="J26" s="138">
        <v>31480920</v>
      </c>
      <c r="K26" s="138">
        <v>31480920</v>
      </c>
      <c r="L26" s="138">
        <v>31480920</v>
      </c>
      <c r="M26" s="138">
        <v>31480920</v>
      </c>
      <c r="N26" s="138">
        <v>31480920</v>
      </c>
      <c r="O26" s="138">
        <v>31480920</v>
      </c>
      <c r="P26" s="138">
        <v>31480920</v>
      </c>
      <c r="Q26" s="138">
        <v>31480920</v>
      </c>
      <c r="R26" s="138">
        <v>31480920</v>
      </c>
      <c r="S26" s="138">
        <v>31480920</v>
      </c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38"/>
      <c r="BD26" s="138"/>
      <c r="BE26" s="138"/>
      <c r="BF26" s="138"/>
      <c r="BG26" s="138"/>
      <c r="BH26" s="138"/>
      <c r="BI26" s="138"/>
      <c r="BJ26" s="138"/>
      <c r="BK26" s="138"/>
      <c r="BL26" s="138"/>
      <c r="BM26" s="138"/>
      <c r="BN26" s="138"/>
      <c r="BO26" s="138"/>
      <c r="BP26" s="138"/>
      <c r="BQ26" s="138"/>
      <c r="BR26" s="138"/>
      <c r="BS26" s="138"/>
      <c r="BT26" s="138"/>
      <c r="BU26" s="138"/>
      <c r="BV26" s="138"/>
      <c r="BW26" s="138"/>
      <c r="BX26" s="138"/>
      <c r="BY26" s="138"/>
      <c r="BZ26" s="138"/>
      <c r="CA26" s="138"/>
      <c r="CB26" s="138"/>
      <c r="CC26" s="138"/>
      <c r="CD26" s="138"/>
      <c r="CE26" s="138"/>
      <c r="CF26" s="138"/>
      <c r="CG26" s="138"/>
      <c r="CH26" s="138"/>
      <c r="CI26" s="138"/>
      <c r="CJ26" s="138"/>
      <c r="CK26" s="138"/>
      <c r="CL26" s="138"/>
      <c r="CM26" s="138"/>
      <c r="CN26" s="138"/>
      <c r="CO26" s="138"/>
      <c r="CP26" s="138"/>
      <c r="CQ26" s="138"/>
      <c r="CR26" s="138"/>
      <c r="CS26" s="138"/>
      <c r="CT26" s="138"/>
      <c r="CU26" s="138"/>
      <c r="CV26" s="138"/>
      <c r="CW26" s="138"/>
      <c r="CX26" s="138"/>
      <c r="CY26" s="138"/>
      <c r="CZ26" s="138"/>
      <c r="DA26" s="138"/>
      <c r="DB26" s="138"/>
      <c r="DC26" s="138"/>
      <c r="DD26" s="138"/>
      <c r="DE26" s="138"/>
      <c r="DF26" s="138"/>
      <c r="DG26" s="138"/>
      <c r="DH26" s="138"/>
      <c r="DI26" s="138"/>
      <c r="DJ26" s="138"/>
      <c r="DK26" s="138"/>
      <c r="DL26" s="138"/>
      <c r="DM26" s="138"/>
      <c r="DN26" s="138"/>
      <c r="DO26" s="138"/>
      <c r="DP26" s="138"/>
      <c r="DQ26" s="138"/>
      <c r="DR26" s="138"/>
      <c r="DS26" s="138"/>
      <c r="DT26" s="138"/>
      <c r="DU26" s="138"/>
      <c r="DV26" s="138"/>
      <c r="DW26" s="138"/>
      <c r="DX26" s="138"/>
      <c r="DY26" s="138"/>
      <c r="DZ26" s="138"/>
      <c r="EA26" s="138"/>
      <c r="EB26" s="138"/>
      <c r="EC26" s="138"/>
      <c r="ED26" s="138"/>
      <c r="EE26" s="138"/>
      <c r="EF26" s="138"/>
      <c r="EG26" s="138"/>
      <c r="EH26" s="138"/>
      <c r="EI26" s="138"/>
      <c r="EJ26" s="138"/>
      <c r="EK26" s="138"/>
      <c r="EL26" s="138"/>
      <c r="EM26" s="138"/>
      <c r="EN26" s="138"/>
      <c r="EO26" s="138"/>
      <c r="EP26" s="138"/>
      <c r="EQ26" s="138"/>
      <c r="ER26" s="138"/>
      <c r="ES26" s="138"/>
      <c r="ET26" s="138"/>
      <c r="EU26" s="138"/>
      <c r="EV26" s="138"/>
      <c r="EW26" s="138"/>
      <c r="EX26" s="138"/>
      <c r="EY26" s="138"/>
      <c r="EZ26" s="138"/>
      <c r="FA26" s="138"/>
      <c r="FB26" s="138"/>
      <c r="FC26" s="138"/>
      <c r="FD26" s="138"/>
      <c r="FE26" s="138"/>
      <c r="FF26" s="138"/>
      <c r="FG26" s="138"/>
      <c r="FH26" s="138"/>
      <c r="FI26" s="138"/>
      <c r="FJ26" s="138"/>
      <c r="FK26" s="138"/>
      <c r="FL26" s="138"/>
      <c r="FM26" s="138"/>
      <c r="FN26" s="138"/>
      <c r="FO26" s="138"/>
      <c r="FP26" s="138"/>
      <c r="FQ26" s="138"/>
      <c r="FR26" s="138"/>
      <c r="FS26" s="138"/>
      <c r="FT26" s="138"/>
      <c r="FU26" s="138"/>
      <c r="FV26" s="138"/>
      <c r="FW26" s="138"/>
      <c r="FX26" s="138"/>
      <c r="FY26" s="138"/>
      <c r="FZ26" s="138"/>
    </row>
    <row r="27" spans="1:276" s="137" customFormat="1" ht="13.5">
      <c r="A27" s="119" t="str">
        <f>A14</f>
        <v>A4132</v>
      </c>
      <c r="B27" s="119" t="str">
        <f>B14</f>
        <v>DIAN</v>
      </c>
      <c r="C27" s="119" t="str">
        <f>C14</f>
        <v>Portal</v>
      </c>
      <c r="D27" s="119" t="s">
        <v>218</v>
      </c>
      <c r="E27" s="169">
        <f>Total!G5+Total!G7</f>
        <v>7263151.1999999993</v>
      </c>
      <c r="F27" s="138">
        <v>0</v>
      </c>
      <c r="G27" s="138">
        <v>22500000</v>
      </c>
      <c r="H27" s="138">
        <v>22500000</v>
      </c>
      <c r="I27" s="138">
        <v>104719090.90909091</v>
      </c>
      <c r="J27" s="138">
        <v>104719090.90909091</v>
      </c>
      <c r="K27" s="138">
        <v>104719090.90909091</v>
      </c>
      <c r="L27" s="138">
        <v>104719090.90909091</v>
      </c>
      <c r="M27" s="138">
        <v>104719090.90909091</v>
      </c>
      <c r="N27" s="138">
        <v>104719090.90909091</v>
      </c>
      <c r="O27" s="138">
        <v>104719090.90909091</v>
      </c>
      <c r="P27" s="138">
        <v>104719090.90909091</v>
      </c>
      <c r="Q27" s="138">
        <v>104719090.90909091</v>
      </c>
      <c r="R27" s="138">
        <v>104719090.90909091</v>
      </c>
      <c r="S27" s="138">
        <v>104719090.90909091</v>
      </c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38"/>
      <c r="BL27" s="138"/>
      <c r="BM27" s="138"/>
      <c r="BN27" s="138"/>
      <c r="BO27" s="138"/>
      <c r="BP27" s="138"/>
      <c r="BQ27" s="138"/>
      <c r="BR27" s="138"/>
      <c r="BS27" s="138"/>
      <c r="BT27" s="138"/>
      <c r="BU27" s="138"/>
      <c r="BV27" s="138"/>
      <c r="BW27" s="138"/>
      <c r="BX27" s="138"/>
      <c r="BY27" s="138"/>
      <c r="BZ27" s="138"/>
      <c r="CA27" s="138"/>
      <c r="CB27" s="138"/>
      <c r="CC27" s="138"/>
      <c r="CD27" s="138"/>
      <c r="CE27" s="138"/>
      <c r="CF27" s="138"/>
      <c r="CG27" s="138"/>
      <c r="CH27" s="138"/>
      <c r="CI27" s="138"/>
      <c r="CJ27" s="138"/>
      <c r="CK27" s="138"/>
      <c r="CL27" s="138"/>
      <c r="CM27" s="138"/>
      <c r="CN27" s="138"/>
      <c r="CO27" s="138"/>
      <c r="CP27" s="138"/>
      <c r="CQ27" s="138"/>
      <c r="CR27" s="138"/>
      <c r="CS27" s="138"/>
      <c r="CT27" s="138"/>
      <c r="CU27" s="138"/>
      <c r="CV27" s="138"/>
      <c r="CW27" s="138"/>
      <c r="CX27" s="138"/>
      <c r="CY27" s="138"/>
      <c r="CZ27" s="138"/>
      <c r="DA27" s="138"/>
      <c r="DB27" s="138"/>
      <c r="DC27" s="138"/>
      <c r="DD27" s="138"/>
      <c r="DE27" s="138"/>
      <c r="DF27" s="138"/>
      <c r="DG27" s="138"/>
      <c r="DH27" s="138"/>
      <c r="DI27" s="138"/>
      <c r="DJ27" s="138"/>
      <c r="DK27" s="138"/>
      <c r="DL27" s="138"/>
      <c r="DM27" s="138"/>
      <c r="DN27" s="138"/>
      <c r="DO27" s="138"/>
      <c r="DP27" s="138"/>
      <c r="DQ27" s="138"/>
      <c r="DR27" s="138"/>
      <c r="DS27" s="138"/>
      <c r="DT27" s="138"/>
      <c r="DU27" s="138"/>
      <c r="DV27" s="138"/>
      <c r="DW27" s="138"/>
      <c r="DX27" s="138"/>
      <c r="DY27" s="138"/>
      <c r="DZ27" s="138"/>
      <c r="EA27" s="138"/>
      <c r="EB27" s="138"/>
      <c r="EC27" s="138"/>
      <c r="ED27" s="138"/>
      <c r="EE27" s="138"/>
      <c r="EF27" s="138"/>
      <c r="EG27" s="138"/>
      <c r="EH27" s="138"/>
      <c r="EI27" s="138"/>
      <c r="EJ27" s="138"/>
      <c r="EK27" s="138"/>
      <c r="EL27" s="138"/>
      <c r="EM27" s="138"/>
      <c r="EN27" s="138"/>
      <c r="EO27" s="138"/>
      <c r="EP27" s="138"/>
      <c r="EQ27" s="138"/>
      <c r="ER27" s="138"/>
      <c r="ES27" s="138"/>
      <c r="ET27" s="138"/>
      <c r="EU27" s="138"/>
      <c r="EV27" s="138"/>
      <c r="EW27" s="138"/>
      <c r="EX27" s="138"/>
      <c r="EY27" s="138"/>
      <c r="EZ27" s="138"/>
      <c r="FA27" s="138"/>
      <c r="FB27" s="138"/>
      <c r="FC27" s="138"/>
      <c r="FD27" s="138"/>
      <c r="FE27" s="138"/>
      <c r="FF27" s="138"/>
      <c r="FG27" s="138"/>
      <c r="FH27" s="138"/>
      <c r="FI27" s="138"/>
      <c r="FJ27" s="138"/>
      <c r="FK27" s="138"/>
      <c r="FL27" s="138"/>
      <c r="FM27" s="138"/>
      <c r="FN27" s="138"/>
      <c r="FO27" s="138"/>
      <c r="FP27" s="138"/>
      <c r="FQ27" s="138"/>
      <c r="FR27" s="138"/>
      <c r="FS27" s="138"/>
      <c r="FT27" s="138"/>
      <c r="FU27" s="138"/>
      <c r="FV27" s="138"/>
      <c r="FW27" s="138"/>
      <c r="FX27" s="138"/>
      <c r="FY27" s="138"/>
      <c r="FZ27" s="138"/>
    </row>
    <row r="28" spans="1:276" s="137" customFormat="1" ht="13.5">
      <c r="A28" s="119" t="str">
        <f>A15</f>
        <v>A4132</v>
      </c>
      <c r="B28" s="119" t="str">
        <f>B15</f>
        <v>DIAN</v>
      </c>
      <c r="C28" s="119" t="str">
        <f>C15</f>
        <v>Portal</v>
      </c>
      <c r="D28" s="119" t="s">
        <v>219</v>
      </c>
      <c r="E28" s="169">
        <f>Total!G8</f>
        <v>0</v>
      </c>
      <c r="F28" s="138">
        <v>0</v>
      </c>
      <c r="G28" s="138">
        <v>0</v>
      </c>
      <c r="H28" s="138">
        <v>1170000</v>
      </c>
      <c r="I28" s="138">
        <v>1170000</v>
      </c>
      <c r="J28" s="138">
        <v>1170000</v>
      </c>
      <c r="K28" s="138">
        <v>1170000</v>
      </c>
      <c r="L28" s="138">
        <v>1170000</v>
      </c>
      <c r="M28" s="138">
        <v>1170000</v>
      </c>
      <c r="N28" s="138">
        <v>1170000</v>
      </c>
      <c r="O28" s="138">
        <v>1170000</v>
      </c>
      <c r="P28" s="138">
        <v>1170000</v>
      </c>
      <c r="Q28" s="138">
        <v>1170000</v>
      </c>
      <c r="R28" s="138">
        <v>1170000</v>
      </c>
      <c r="S28" s="138">
        <v>1170000</v>
      </c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8"/>
      <c r="BD28" s="138"/>
      <c r="BE28" s="138"/>
      <c r="BF28" s="138"/>
      <c r="BG28" s="138"/>
      <c r="BH28" s="138"/>
      <c r="BI28" s="138"/>
      <c r="BJ28" s="138"/>
      <c r="BK28" s="138"/>
      <c r="BL28" s="138"/>
      <c r="BM28" s="138"/>
      <c r="BN28" s="138"/>
      <c r="BO28" s="138"/>
      <c r="BP28" s="138"/>
      <c r="BQ28" s="138"/>
      <c r="BR28" s="138"/>
      <c r="BS28" s="138"/>
      <c r="BT28" s="138"/>
      <c r="BU28" s="138"/>
      <c r="BV28" s="138"/>
      <c r="BW28" s="138"/>
      <c r="BX28" s="138"/>
      <c r="BY28" s="138"/>
      <c r="BZ28" s="138"/>
      <c r="CA28" s="138"/>
      <c r="CB28" s="138"/>
      <c r="CC28" s="138"/>
      <c r="CD28" s="138"/>
      <c r="CE28" s="138"/>
      <c r="CF28" s="138"/>
      <c r="CG28" s="138"/>
      <c r="CH28" s="138"/>
      <c r="CI28" s="138"/>
      <c r="CJ28" s="138"/>
      <c r="CK28" s="138"/>
      <c r="CL28" s="138"/>
      <c r="CM28" s="138"/>
      <c r="CN28" s="138"/>
      <c r="CO28" s="138"/>
      <c r="CP28" s="138"/>
      <c r="CQ28" s="138"/>
      <c r="CR28" s="138"/>
      <c r="CS28" s="138"/>
      <c r="CT28" s="138"/>
      <c r="CU28" s="138"/>
      <c r="CV28" s="138"/>
      <c r="CW28" s="138"/>
      <c r="CX28" s="138"/>
      <c r="CY28" s="138"/>
      <c r="CZ28" s="138"/>
      <c r="DA28" s="138"/>
      <c r="DB28" s="138"/>
      <c r="DC28" s="138"/>
      <c r="DD28" s="138"/>
      <c r="DE28" s="138"/>
      <c r="DF28" s="138"/>
      <c r="DG28" s="138"/>
      <c r="DH28" s="138"/>
      <c r="DI28" s="138"/>
      <c r="DJ28" s="138"/>
      <c r="DK28" s="138"/>
      <c r="DL28" s="138"/>
      <c r="DM28" s="138"/>
      <c r="DN28" s="138"/>
      <c r="DO28" s="138"/>
      <c r="DP28" s="138"/>
      <c r="DQ28" s="138"/>
      <c r="DR28" s="138"/>
      <c r="DS28" s="138"/>
      <c r="DT28" s="138"/>
      <c r="DU28" s="138"/>
      <c r="DV28" s="138"/>
      <c r="DW28" s="138"/>
      <c r="DX28" s="138"/>
      <c r="DY28" s="138"/>
      <c r="DZ28" s="138"/>
      <c r="EA28" s="138"/>
      <c r="EB28" s="138"/>
      <c r="EC28" s="138"/>
      <c r="ED28" s="138"/>
      <c r="EE28" s="138"/>
      <c r="EF28" s="138"/>
      <c r="EG28" s="138"/>
      <c r="EH28" s="138"/>
      <c r="EI28" s="138"/>
      <c r="EJ28" s="138"/>
      <c r="EK28" s="138"/>
      <c r="EL28" s="138"/>
      <c r="EM28" s="138"/>
      <c r="EN28" s="138"/>
      <c r="EO28" s="138"/>
      <c r="EP28" s="138"/>
      <c r="EQ28" s="138"/>
      <c r="ER28" s="138"/>
      <c r="ES28" s="138"/>
      <c r="ET28" s="138"/>
      <c r="EU28" s="138"/>
      <c r="EV28" s="138"/>
      <c r="EW28" s="138"/>
      <c r="EX28" s="138"/>
      <c r="EY28" s="138"/>
      <c r="EZ28" s="138"/>
      <c r="FA28" s="138"/>
      <c r="FB28" s="138"/>
      <c r="FC28" s="138"/>
      <c r="FD28" s="138"/>
      <c r="FE28" s="138"/>
      <c r="FF28" s="138"/>
      <c r="FG28" s="138"/>
      <c r="FH28" s="138"/>
      <c r="FI28" s="138"/>
      <c r="FJ28" s="138"/>
      <c r="FK28" s="138"/>
      <c r="FL28" s="138"/>
      <c r="FM28" s="138"/>
      <c r="FN28" s="138"/>
      <c r="FO28" s="138"/>
      <c r="FP28" s="138"/>
      <c r="FQ28" s="138"/>
      <c r="FR28" s="138"/>
      <c r="FS28" s="138"/>
      <c r="FT28" s="138"/>
      <c r="FU28" s="138"/>
      <c r="FV28" s="138"/>
      <c r="FW28" s="138"/>
      <c r="FX28" s="138"/>
      <c r="FY28" s="138"/>
      <c r="FZ28" s="138"/>
    </row>
    <row r="29" spans="1:276" s="137" customFormat="1" ht="13.5">
      <c r="A29" s="119" t="s">
        <v>164</v>
      </c>
      <c r="B29" s="119" t="s">
        <v>166</v>
      </c>
      <c r="C29" s="119" t="s">
        <v>168</v>
      </c>
      <c r="D29" s="119" t="s">
        <v>213</v>
      </c>
      <c r="E29" s="169">
        <f>Total!G9</f>
        <v>0</v>
      </c>
      <c r="F29" s="136">
        <v>1980000000</v>
      </c>
      <c r="G29" s="136">
        <v>0</v>
      </c>
      <c r="H29" s="136">
        <v>0</v>
      </c>
      <c r="I29" s="136">
        <v>0</v>
      </c>
      <c r="J29" s="136">
        <v>0</v>
      </c>
      <c r="K29" s="136">
        <v>0</v>
      </c>
      <c r="L29" s="136">
        <v>0</v>
      </c>
      <c r="M29" s="136">
        <v>0</v>
      </c>
      <c r="N29" s="136">
        <v>0</v>
      </c>
      <c r="O29" s="136">
        <v>0</v>
      </c>
      <c r="P29" s="136">
        <v>0</v>
      </c>
      <c r="Q29" s="136">
        <v>0</v>
      </c>
      <c r="R29" s="136">
        <v>0</v>
      </c>
      <c r="S29" s="136">
        <v>0</v>
      </c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  <c r="AK29" s="136"/>
      <c r="AL29" s="136"/>
      <c r="AM29" s="136"/>
      <c r="AN29" s="136"/>
      <c r="AO29" s="136"/>
      <c r="AP29" s="136"/>
      <c r="AQ29" s="136"/>
      <c r="AR29" s="136"/>
      <c r="AS29" s="136"/>
      <c r="AT29" s="136"/>
      <c r="AU29" s="136"/>
      <c r="AV29" s="136"/>
      <c r="AW29" s="136"/>
      <c r="AX29" s="136"/>
      <c r="AY29" s="136"/>
      <c r="AZ29" s="136"/>
      <c r="BA29" s="136"/>
      <c r="BB29" s="136"/>
      <c r="BC29" s="136"/>
      <c r="BD29" s="136"/>
      <c r="BE29" s="136"/>
      <c r="BF29" s="136"/>
      <c r="BG29" s="136"/>
      <c r="BH29" s="136"/>
      <c r="BI29" s="136"/>
      <c r="BJ29" s="136"/>
      <c r="BK29" s="136"/>
      <c r="BL29" s="136"/>
      <c r="BM29" s="136"/>
      <c r="BN29" s="136"/>
      <c r="BO29" s="136"/>
      <c r="BP29" s="136"/>
      <c r="BQ29" s="136"/>
      <c r="BR29" s="136"/>
      <c r="BS29" s="136"/>
      <c r="BT29" s="136"/>
      <c r="BU29" s="136"/>
      <c r="BV29" s="136"/>
      <c r="BW29" s="136"/>
      <c r="BX29" s="136"/>
      <c r="BY29" s="136"/>
      <c r="BZ29" s="136"/>
      <c r="CA29" s="136"/>
      <c r="CB29" s="136"/>
      <c r="CC29" s="136"/>
      <c r="CD29" s="136"/>
      <c r="CE29" s="136"/>
      <c r="CF29" s="136"/>
      <c r="CG29" s="136"/>
      <c r="CH29" s="136"/>
      <c r="CI29" s="136"/>
      <c r="CJ29" s="136"/>
      <c r="CK29" s="136"/>
      <c r="CL29" s="136"/>
      <c r="CM29" s="136"/>
      <c r="CN29" s="136"/>
      <c r="CO29" s="136"/>
      <c r="CP29" s="136"/>
      <c r="CQ29" s="136"/>
      <c r="CR29" s="136"/>
      <c r="CS29" s="136"/>
      <c r="CT29" s="136"/>
      <c r="CU29" s="136"/>
      <c r="CV29" s="136"/>
      <c r="CW29" s="136"/>
      <c r="CX29" s="136"/>
      <c r="CY29" s="136"/>
      <c r="CZ29" s="136"/>
      <c r="DA29" s="136"/>
      <c r="DB29" s="136"/>
      <c r="DC29" s="136"/>
      <c r="DD29" s="136"/>
      <c r="DE29" s="136"/>
      <c r="DF29" s="136"/>
      <c r="DG29" s="136"/>
      <c r="DH29" s="136"/>
      <c r="DI29" s="136"/>
      <c r="DJ29" s="136"/>
      <c r="DK29" s="136"/>
      <c r="DL29" s="136"/>
      <c r="DM29" s="136"/>
      <c r="DN29" s="136"/>
      <c r="DO29" s="136"/>
      <c r="DP29" s="136"/>
      <c r="DQ29" s="136"/>
      <c r="DR29" s="136"/>
      <c r="DS29" s="136"/>
      <c r="DT29" s="136"/>
      <c r="DU29" s="136"/>
      <c r="DV29" s="136"/>
      <c r="DW29" s="136"/>
      <c r="DX29" s="136"/>
      <c r="DY29" s="136"/>
      <c r="DZ29" s="136"/>
      <c r="EA29" s="136"/>
      <c r="EB29" s="136"/>
      <c r="EC29" s="136"/>
      <c r="ED29" s="136"/>
      <c r="EE29" s="136"/>
      <c r="EF29" s="136"/>
      <c r="EG29" s="136"/>
      <c r="EH29" s="136"/>
      <c r="EI29" s="136"/>
      <c r="EJ29" s="136"/>
      <c r="EK29" s="136"/>
      <c r="EL29" s="136"/>
      <c r="EM29" s="136"/>
      <c r="EN29" s="136"/>
      <c r="EO29" s="136"/>
      <c r="EP29" s="136"/>
      <c r="EQ29" s="136"/>
      <c r="ER29" s="136"/>
      <c r="ES29" s="136"/>
      <c r="ET29" s="136"/>
      <c r="EU29" s="136"/>
      <c r="EV29" s="136"/>
      <c r="EW29" s="136"/>
      <c r="EX29" s="136"/>
      <c r="EY29" s="136"/>
      <c r="EZ29" s="136"/>
      <c r="FA29" s="136"/>
      <c r="FB29" s="136"/>
      <c r="FC29" s="136"/>
      <c r="FD29" s="136"/>
      <c r="FE29" s="136"/>
      <c r="FF29" s="136"/>
      <c r="FG29" s="136"/>
      <c r="FH29" s="136"/>
      <c r="FI29" s="136"/>
      <c r="FJ29" s="136"/>
      <c r="FK29" s="136"/>
      <c r="FL29" s="136"/>
      <c r="FM29" s="136"/>
      <c r="FN29" s="136"/>
      <c r="FO29" s="136"/>
      <c r="FP29" s="136"/>
      <c r="FQ29" s="136"/>
      <c r="FR29" s="136"/>
      <c r="FS29" s="136"/>
      <c r="FT29" s="136"/>
      <c r="FU29" s="136"/>
      <c r="FV29" s="136"/>
      <c r="FW29" s="136"/>
      <c r="FX29" s="136"/>
      <c r="FY29" s="136"/>
      <c r="FZ29" s="136"/>
      <c r="GA29" s="136"/>
      <c r="GB29" s="136"/>
      <c r="GC29" s="136"/>
      <c r="GD29" s="136"/>
      <c r="GE29" s="136"/>
      <c r="GF29" s="136"/>
      <c r="GG29" s="136"/>
      <c r="GH29" s="136"/>
      <c r="GI29" s="136"/>
      <c r="GJ29" s="136"/>
      <c r="GK29" s="136"/>
      <c r="GL29" s="136"/>
      <c r="GM29" s="136"/>
      <c r="GN29" s="136"/>
      <c r="GO29" s="136"/>
      <c r="GP29" s="136"/>
      <c r="GQ29" s="136"/>
      <c r="GR29" s="136"/>
      <c r="GS29" s="136"/>
      <c r="GT29" s="136"/>
      <c r="GU29" s="136"/>
      <c r="GV29" s="136"/>
      <c r="GW29" s="136"/>
      <c r="GX29" s="136"/>
      <c r="GY29" s="136"/>
      <c r="GZ29" s="136"/>
      <c r="HA29" s="136"/>
      <c r="HB29" s="136"/>
      <c r="HC29" s="136"/>
      <c r="HD29" s="136"/>
      <c r="HE29" s="136"/>
      <c r="HF29" s="136"/>
      <c r="HG29" s="136"/>
      <c r="HH29" s="136"/>
      <c r="HI29" s="136"/>
      <c r="HJ29" s="136"/>
      <c r="HK29" s="136"/>
      <c r="HL29" s="136"/>
      <c r="HM29" s="136"/>
      <c r="HN29" s="136"/>
      <c r="HO29" s="136"/>
      <c r="HP29" s="136"/>
      <c r="HQ29" s="136"/>
      <c r="HR29" s="136"/>
      <c r="HS29" s="136"/>
      <c r="HT29" s="136"/>
      <c r="HU29" s="136"/>
      <c r="HV29" s="136"/>
      <c r="HW29" s="136"/>
      <c r="HX29" s="136"/>
      <c r="HY29" s="136"/>
      <c r="HZ29" s="136"/>
      <c r="IA29" s="136"/>
      <c r="IB29" s="136"/>
      <c r="IC29" s="136"/>
      <c r="ID29" s="136"/>
      <c r="IE29" s="136"/>
      <c r="IF29" s="136"/>
      <c r="IG29" s="136"/>
      <c r="IH29" s="136"/>
      <c r="II29" s="136"/>
      <c r="IJ29" s="136"/>
      <c r="IK29" s="136"/>
      <c r="IL29" s="136"/>
      <c r="IM29" s="136"/>
      <c r="IN29" s="136"/>
      <c r="IO29" s="136"/>
      <c r="IP29" s="136"/>
      <c r="IQ29" s="136"/>
      <c r="IR29" s="136"/>
      <c r="IS29" s="136"/>
      <c r="IT29" s="136"/>
      <c r="IU29" s="136"/>
      <c r="IV29" s="136"/>
      <c r="IW29" s="136"/>
      <c r="IX29" s="136"/>
      <c r="IY29" s="136"/>
      <c r="IZ29" s="136"/>
      <c r="JA29" s="136"/>
      <c r="JB29" s="136"/>
      <c r="JC29" s="136"/>
      <c r="JD29" s="136"/>
      <c r="JE29" s="136"/>
      <c r="JF29" s="136"/>
      <c r="JG29" s="136"/>
      <c r="JH29" s="136"/>
      <c r="JI29" s="136"/>
      <c r="JJ29" s="136"/>
      <c r="JK29" s="136"/>
      <c r="JL29" s="136"/>
      <c r="JM29" s="136"/>
      <c r="JN29" s="136"/>
      <c r="JO29" s="136"/>
      <c r="JP29" s="136"/>
    </row>
    <row r="30" spans="1:276" s="137" customFormat="1" ht="13.5">
      <c r="A30" s="119" t="str">
        <f t="shared" ref="A30:C30" si="14">A17</f>
        <v>A4132</v>
      </c>
      <c r="B30" s="119" t="str">
        <f t="shared" si="14"/>
        <v>DIAN</v>
      </c>
      <c r="C30" s="119" t="str">
        <f t="shared" si="14"/>
        <v>Portal</v>
      </c>
      <c r="D30" s="119" t="s">
        <v>0</v>
      </c>
      <c r="E30" s="169">
        <f>SUM(E25:E29)</f>
        <v>20931722.628571428</v>
      </c>
      <c r="F30" s="169">
        <f t="shared" ref="F30:BQ30" si="15">SUM(F25:F29)</f>
        <v>2077722022.5</v>
      </c>
      <c r="G30" s="169">
        <f t="shared" si="15"/>
        <v>120222022.5</v>
      </c>
      <c r="H30" s="169">
        <f t="shared" si="15"/>
        <v>152872942.5</v>
      </c>
      <c r="I30" s="169">
        <f t="shared" si="15"/>
        <v>235092033.40909091</v>
      </c>
      <c r="J30" s="169">
        <f t="shared" si="15"/>
        <v>235092033.40909091</v>
      </c>
      <c r="K30" s="169">
        <f t="shared" si="15"/>
        <v>235092033.40909091</v>
      </c>
      <c r="L30" s="169">
        <f t="shared" si="15"/>
        <v>137370010.90909091</v>
      </c>
      <c r="M30" s="169">
        <f t="shared" si="15"/>
        <v>137370010.90909091</v>
      </c>
      <c r="N30" s="169">
        <f t="shared" si="15"/>
        <v>137370010.90909091</v>
      </c>
      <c r="O30" s="169">
        <f t="shared" si="15"/>
        <v>137370010.90909091</v>
      </c>
      <c r="P30" s="169">
        <f t="shared" si="15"/>
        <v>137370010.90909091</v>
      </c>
      <c r="Q30" s="169">
        <f t="shared" si="15"/>
        <v>137370010.90909091</v>
      </c>
      <c r="R30" s="169">
        <f t="shared" si="15"/>
        <v>137370010.90909091</v>
      </c>
      <c r="S30" s="169">
        <f t="shared" si="15"/>
        <v>137370010.90909091</v>
      </c>
      <c r="T30" s="169">
        <f t="shared" si="15"/>
        <v>0</v>
      </c>
      <c r="U30" s="169">
        <f t="shared" si="15"/>
        <v>0</v>
      </c>
      <c r="V30" s="169">
        <f t="shared" si="15"/>
        <v>0</v>
      </c>
      <c r="W30" s="169">
        <f t="shared" si="15"/>
        <v>0</v>
      </c>
      <c r="X30" s="169">
        <f t="shared" si="15"/>
        <v>0</v>
      </c>
      <c r="Y30" s="169">
        <f t="shared" si="15"/>
        <v>0</v>
      </c>
      <c r="Z30" s="169">
        <f t="shared" si="15"/>
        <v>0</v>
      </c>
      <c r="AA30" s="169">
        <f t="shared" si="15"/>
        <v>0</v>
      </c>
      <c r="AB30" s="169">
        <f t="shared" si="15"/>
        <v>0</v>
      </c>
      <c r="AC30" s="169">
        <f t="shared" si="15"/>
        <v>0</v>
      </c>
      <c r="AD30" s="169">
        <f t="shared" si="15"/>
        <v>0</v>
      </c>
      <c r="AE30" s="169">
        <f t="shared" si="15"/>
        <v>0</v>
      </c>
      <c r="AF30" s="169">
        <f t="shared" si="15"/>
        <v>0</v>
      </c>
      <c r="AG30" s="169">
        <f t="shared" si="15"/>
        <v>0</v>
      </c>
      <c r="AH30" s="169">
        <f t="shared" si="15"/>
        <v>0</v>
      </c>
      <c r="AI30" s="169">
        <f t="shared" si="15"/>
        <v>0</v>
      </c>
      <c r="AJ30" s="169">
        <f t="shared" si="15"/>
        <v>0</v>
      </c>
      <c r="AK30" s="169">
        <f t="shared" si="15"/>
        <v>0</v>
      </c>
      <c r="AL30" s="169">
        <f t="shared" si="15"/>
        <v>0</v>
      </c>
      <c r="AM30" s="169">
        <f t="shared" si="15"/>
        <v>0</v>
      </c>
      <c r="AN30" s="169">
        <f t="shared" si="15"/>
        <v>0</v>
      </c>
      <c r="AO30" s="169">
        <f t="shared" si="15"/>
        <v>0</v>
      </c>
      <c r="AP30" s="169">
        <f t="shared" si="15"/>
        <v>0</v>
      </c>
      <c r="AQ30" s="169">
        <f t="shared" si="15"/>
        <v>0</v>
      </c>
      <c r="AR30" s="169">
        <f t="shared" si="15"/>
        <v>0</v>
      </c>
      <c r="AS30" s="169">
        <f t="shared" si="15"/>
        <v>0</v>
      </c>
      <c r="AT30" s="169">
        <f t="shared" si="15"/>
        <v>0</v>
      </c>
      <c r="AU30" s="169">
        <f t="shared" si="15"/>
        <v>0</v>
      </c>
      <c r="AV30" s="169">
        <f t="shared" si="15"/>
        <v>0</v>
      </c>
      <c r="AW30" s="169">
        <f t="shared" si="15"/>
        <v>0</v>
      </c>
      <c r="AX30" s="169">
        <f t="shared" si="15"/>
        <v>0</v>
      </c>
      <c r="AY30" s="169">
        <f t="shared" si="15"/>
        <v>0</v>
      </c>
      <c r="AZ30" s="169">
        <f t="shared" si="15"/>
        <v>0</v>
      </c>
      <c r="BA30" s="169">
        <f t="shared" si="15"/>
        <v>0</v>
      </c>
      <c r="BB30" s="169">
        <f t="shared" si="15"/>
        <v>0</v>
      </c>
      <c r="BC30" s="169">
        <f t="shared" si="15"/>
        <v>0</v>
      </c>
      <c r="BD30" s="169">
        <f t="shared" si="15"/>
        <v>0</v>
      </c>
      <c r="BE30" s="169">
        <f t="shared" si="15"/>
        <v>0</v>
      </c>
      <c r="BF30" s="169">
        <f t="shared" si="15"/>
        <v>0</v>
      </c>
      <c r="BG30" s="169">
        <f t="shared" si="15"/>
        <v>0</v>
      </c>
      <c r="BH30" s="169">
        <f t="shared" si="15"/>
        <v>0</v>
      </c>
      <c r="BI30" s="169">
        <f t="shared" si="15"/>
        <v>0</v>
      </c>
      <c r="BJ30" s="169">
        <f t="shared" si="15"/>
        <v>0</v>
      </c>
      <c r="BK30" s="169">
        <f t="shared" si="15"/>
        <v>0</v>
      </c>
      <c r="BL30" s="169">
        <f t="shared" si="15"/>
        <v>0</v>
      </c>
      <c r="BM30" s="169">
        <f t="shared" si="15"/>
        <v>0</v>
      </c>
      <c r="BN30" s="169">
        <f t="shared" si="15"/>
        <v>0</v>
      </c>
      <c r="BO30" s="169">
        <f t="shared" si="15"/>
        <v>0</v>
      </c>
      <c r="BP30" s="169">
        <f t="shared" si="15"/>
        <v>0</v>
      </c>
      <c r="BQ30" s="169">
        <f t="shared" si="15"/>
        <v>0</v>
      </c>
      <c r="BR30" s="169">
        <f t="shared" ref="BR30:EC30" si="16">SUM(BR25:BR29)</f>
        <v>0</v>
      </c>
      <c r="BS30" s="169">
        <f t="shared" si="16"/>
        <v>0</v>
      </c>
      <c r="BT30" s="169">
        <f t="shared" si="16"/>
        <v>0</v>
      </c>
      <c r="BU30" s="169">
        <f t="shared" si="16"/>
        <v>0</v>
      </c>
      <c r="BV30" s="169">
        <f t="shared" si="16"/>
        <v>0</v>
      </c>
      <c r="BW30" s="169">
        <f t="shared" si="16"/>
        <v>0</v>
      </c>
      <c r="BX30" s="169">
        <f t="shared" si="16"/>
        <v>0</v>
      </c>
      <c r="BY30" s="169">
        <f t="shared" si="16"/>
        <v>0</v>
      </c>
      <c r="BZ30" s="169">
        <f t="shared" si="16"/>
        <v>0</v>
      </c>
      <c r="CA30" s="169">
        <f t="shared" si="16"/>
        <v>0</v>
      </c>
      <c r="CB30" s="169">
        <f t="shared" si="16"/>
        <v>0</v>
      </c>
      <c r="CC30" s="169">
        <f t="shared" si="16"/>
        <v>0</v>
      </c>
      <c r="CD30" s="169">
        <f t="shared" si="16"/>
        <v>0</v>
      </c>
      <c r="CE30" s="169">
        <f t="shared" si="16"/>
        <v>0</v>
      </c>
      <c r="CF30" s="169">
        <f t="shared" si="16"/>
        <v>0</v>
      </c>
      <c r="CG30" s="169">
        <f t="shared" si="16"/>
        <v>0</v>
      </c>
      <c r="CH30" s="169">
        <f t="shared" si="16"/>
        <v>0</v>
      </c>
      <c r="CI30" s="169">
        <f t="shared" si="16"/>
        <v>0</v>
      </c>
      <c r="CJ30" s="169">
        <f t="shared" si="16"/>
        <v>0</v>
      </c>
      <c r="CK30" s="169">
        <f t="shared" si="16"/>
        <v>0</v>
      </c>
      <c r="CL30" s="169">
        <f t="shared" si="16"/>
        <v>0</v>
      </c>
      <c r="CM30" s="169">
        <f t="shared" si="16"/>
        <v>0</v>
      </c>
      <c r="CN30" s="169">
        <f t="shared" si="16"/>
        <v>0</v>
      </c>
      <c r="CO30" s="169">
        <f t="shared" si="16"/>
        <v>0</v>
      </c>
      <c r="CP30" s="169">
        <f t="shared" si="16"/>
        <v>0</v>
      </c>
      <c r="CQ30" s="169">
        <f t="shared" si="16"/>
        <v>0</v>
      </c>
      <c r="CR30" s="169">
        <f t="shared" si="16"/>
        <v>0</v>
      </c>
      <c r="CS30" s="169">
        <f t="shared" si="16"/>
        <v>0</v>
      </c>
      <c r="CT30" s="169">
        <f t="shared" si="16"/>
        <v>0</v>
      </c>
      <c r="CU30" s="169">
        <f t="shared" si="16"/>
        <v>0</v>
      </c>
      <c r="CV30" s="169">
        <f t="shared" si="16"/>
        <v>0</v>
      </c>
      <c r="CW30" s="169">
        <f t="shared" si="16"/>
        <v>0</v>
      </c>
      <c r="CX30" s="169">
        <f t="shared" si="16"/>
        <v>0</v>
      </c>
      <c r="CY30" s="169">
        <f t="shared" si="16"/>
        <v>0</v>
      </c>
      <c r="CZ30" s="169">
        <f t="shared" si="16"/>
        <v>0</v>
      </c>
      <c r="DA30" s="169">
        <f t="shared" si="16"/>
        <v>0</v>
      </c>
      <c r="DB30" s="169">
        <f t="shared" si="16"/>
        <v>0</v>
      </c>
      <c r="DC30" s="169">
        <f t="shared" si="16"/>
        <v>0</v>
      </c>
      <c r="DD30" s="169">
        <f t="shared" si="16"/>
        <v>0</v>
      </c>
      <c r="DE30" s="169">
        <f t="shared" si="16"/>
        <v>0</v>
      </c>
      <c r="DF30" s="169">
        <f t="shared" si="16"/>
        <v>0</v>
      </c>
      <c r="DG30" s="169">
        <f t="shared" si="16"/>
        <v>0</v>
      </c>
      <c r="DH30" s="169">
        <f t="shared" si="16"/>
        <v>0</v>
      </c>
      <c r="DI30" s="169">
        <f t="shared" si="16"/>
        <v>0</v>
      </c>
      <c r="DJ30" s="169">
        <f t="shared" si="16"/>
        <v>0</v>
      </c>
      <c r="DK30" s="169">
        <f t="shared" si="16"/>
        <v>0</v>
      </c>
      <c r="DL30" s="169">
        <f t="shared" si="16"/>
        <v>0</v>
      </c>
      <c r="DM30" s="169">
        <f t="shared" si="16"/>
        <v>0</v>
      </c>
      <c r="DN30" s="169">
        <f t="shared" si="16"/>
        <v>0</v>
      </c>
      <c r="DO30" s="169">
        <f t="shared" si="16"/>
        <v>0</v>
      </c>
      <c r="DP30" s="169">
        <f t="shared" si="16"/>
        <v>0</v>
      </c>
      <c r="DQ30" s="169">
        <f t="shared" si="16"/>
        <v>0</v>
      </c>
      <c r="DR30" s="169">
        <f t="shared" si="16"/>
        <v>0</v>
      </c>
      <c r="DS30" s="169">
        <f t="shared" si="16"/>
        <v>0</v>
      </c>
      <c r="DT30" s="169">
        <f t="shared" si="16"/>
        <v>0</v>
      </c>
      <c r="DU30" s="169">
        <f t="shared" si="16"/>
        <v>0</v>
      </c>
      <c r="DV30" s="169">
        <f t="shared" si="16"/>
        <v>0</v>
      </c>
      <c r="DW30" s="169">
        <f t="shared" si="16"/>
        <v>0</v>
      </c>
      <c r="DX30" s="169">
        <f t="shared" si="16"/>
        <v>0</v>
      </c>
      <c r="DY30" s="169">
        <f t="shared" si="16"/>
        <v>0</v>
      </c>
      <c r="DZ30" s="169">
        <f t="shared" si="16"/>
        <v>0</v>
      </c>
      <c r="EA30" s="169">
        <f t="shared" si="16"/>
        <v>0</v>
      </c>
      <c r="EB30" s="169">
        <f t="shared" si="16"/>
        <v>0</v>
      </c>
      <c r="EC30" s="169">
        <f t="shared" si="16"/>
        <v>0</v>
      </c>
      <c r="ED30" s="169">
        <f t="shared" ref="ED30:GH30" si="17">SUM(ED25:ED29)</f>
        <v>0</v>
      </c>
      <c r="EE30" s="169">
        <f t="shared" si="17"/>
        <v>0</v>
      </c>
      <c r="EF30" s="169">
        <f t="shared" si="17"/>
        <v>0</v>
      </c>
      <c r="EG30" s="169">
        <f t="shared" si="17"/>
        <v>0</v>
      </c>
      <c r="EH30" s="169">
        <f t="shared" si="17"/>
        <v>0</v>
      </c>
      <c r="EI30" s="169">
        <f t="shared" si="17"/>
        <v>0</v>
      </c>
      <c r="EJ30" s="169">
        <f t="shared" si="17"/>
        <v>0</v>
      </c>
      <c r="EK30" s="169">
        <f t="shared" si="17"/>
        <v>0</v>
      </c>
      <c r="EL30" s="169">
        <f t="shared" si="17"/>
        <v>0</v>
      </c>
      <c r="EM30" s="169">
        <f t="shared" si="17"/>
        <v>0</v>
      </c>
      <c r="EN30" s="169">
        <f t="shared" si="17"/>
        <v>0</v>
      </c>
      <c r="EO30" s="169">
        <f t="shared" si="17"/>
        <v>0</v>
      </c>
      <c r="EP30" s="169">
        <f t="shared" si="17"/>
        <v>0</v>
      </c>
      <c r="EQ30" s="169">
        <f t="shared" si="17"/>
        <v>0</v>
      </c>
      <c r="ER30" s="169">
        <f t="shared" si="17"/>
        <v>0</v>
      </c>
      <c r="ES30" s="169">
        <f t="shared" si="17"/>
        <v>0</v>
      </c>
      <c r="ET30" s="169">
        <f t="shared" si="17"/>
        <v>0</v>
      </c>
      <c r="EU30" s="169">
        <f t="shared" si="17"/>
        <v>0</v>
      </c>
      <c r="EV30" s="169">
        <f t="shared" si="17"/>
        <v>0</v>
      </c>
      <c r="EW30" s="169">
        <f t="shared" si="17"/>
        <v>0</v>
      </c>
      <c r="EX30" s="169">
        <f t="shared" si="17"/>
        <v>0</v>
      </c>
      <c r="EY30" s="169">
        <f t="shared" si="17"/>
        <v>0</v>
      </c>
      <c r="EZ30" s="169">
        <f t="shared" si="17"/>
        <v>0</v>
      </c>
      <c r="FA30" s="169">
        <f t="shared" si="17"/>
        <v>0</v>
      </c>
      <c r="FB30" s="169">
        <f t="shared" si="17"/>
        <v>0</v>
      </c>
      <c r="FC30" s="169">
        <f t="shared" si="17"/>
        <v>0</v>
      </c>
      <c r="FD30" s="169">
        <f t="shared" si="17"/>
        <v>0</v>
      </c>
      <c r="FE30" s="169">
        <f t="shared" si="17"/>
        <v>0</v>
      </c>
      <c r="FF30" s="169">
        <f t="shared" si="17"/>
        <v>0</v>
      </c>
      <c r="FG30" s="169">
        <f t="shared" si="17"/>
        <v>0</v>
      </c>
      <c r="FH30" s="169">
        <f t="shared" si="17"/>
        <v>0</v>
      </c>
      <c r="FI30" s="169">
        <f t="shared" si="17"/>
        <v>0</v>
      </c>
      <c r="FJ30" s="169">
        <f t="shared" si="17"/>
        <v>0</v>
      </c>
      <c r="FK30" s="169">
        <f t="shared" si="17"/>
        <v>0</v>
      </c>
      <c r="FL30" s="169">
        <f t="shared" si="17"/>
        <v>0</v>
      </c>
      <c r="FM30" s="169">
        <f t="shared" si="17"/>
        <v>0</v>
      </c>
      <c r="FN30" s="169">
        <f t="shared" si="17"/>
        <v>0</v>
      </c>
      <c r="FO30" s="169">
        <f t="shared" si="17"/>
        <v>0</v>
      </c>
      <c r="FP30" s="169">
        <f t="shared" si="17"/>
        <v>0</v>
      </c>
      <c r="FQ30" s="169">
        <f t="shared" si="17"/>
        <v>0</v>
      </c>
      <c r="FR30" s="169">
        <f t="shared" si="17"/>
        <v>0</v>
      </c>
      <c r="FS30" s="169">
        <f t="shared" si="17"/>
        <v>0</v>
      </c>
      <c r="FT30" s="169">
        <f t="shared" si="17"/>
        <v>0</v>
      </c>
      <c r="FU30" s="169">
        <f t="shared" si="17"/>
        <v>0</v>
      </c>
      <c r="FV30" s="169">
        <f t="shared" si="17"/>
        <v>0</v>
      </c>
      <c r="FW30" s="169">
        <f t="shared" si="17"/>
        <v>0</v>
      </c>
      <c r="FX30" s="169">
        <f t="shared" si="17"/>
        <v>0</v>
      </c>
      <c r="FY30" s="169">
        <f t="shared" si="17"/>
        <v>0</v>
      </c>
      <c r="FZ30" s="169">
        <f t="shared" si="17"/>
        <v>0</v>
      </c>
      <c r="GA30" s="169">
        <f t="shared" si="17"/>
        <v>0</v>
      </c>
      <c r="GB30" s="169">
        <f t="shared" si="17"/>
        <v>0</v>
      </c>
      <c r="GC30" s="169">
        <f t="shared" si="17"/>
        <v>0</v>
      </c>
      <c r="GD30" s="169">
        <f t="shared" si="17"/>
        <v>0</v>
      </c>
      <c r="GE30" s="169">
        <f t="shared" si="17"/>
        <v>0</v>
      </c>
      <c r="GF30" s="169">
        <f t="shared" si="17"/>
        <v>0</v>
      </c>
      <c r="GG30" s="169">
        <f t="shared" si="17"/>
        <v>0</v>
      </c>
      <c r="GH30" s="169">
        <f t="shared" si="17"/>
        <v>0</v>
      </c>
      <c r="GI30" s="138"/>
      <c r="GJ30" s="138"/>
      <c r="GK30" s="138"/>
      <c r="GL30" s="138"/>
      <c r="GM30" s="138"/>
      <c r="GN30" s="138"/>
      <c r="GO30" s="138"/>
      <c r="GP30" s="138"/>
      <c r="GQ30" s="138"/>
    </row>
    <row r="32" spans="1:276" s="157" customFormat="1">
      <c r="E32" s="174"/>
    </row>
    <row r="33" spans="1:204" s="157" customFormat="1">
      <c r="A33" s="224" t="s">
        <v>220</v>
      </c>
      <c r="B33" s="225"/>
      <c r="E33" s="174"/>
    </row>
    <row r="34" spans="1:204" s="151" customFormat="1">
      <c r="A34" s="150" t="s">
        <v>163</v>
      </c>
      <c r="B34" s="150" t="s">
        <v>165</v>
      </c>
      <c r="C34" s="150" t="s">
        <v>167</v>
      </c>
      <c r="D34" s="150" t="s">
        <v>1</v>
      </c>
      <c r="E34" s="175" t="s">
        <v>221</v>
      </c>
      <c r="F34" s="159" t="str">
        <f>F11</f>
        <v>2025_08_Ago</v>
      </c>
      <c r="G34" s="159" t="str">
        <f t="shared" ref="G34:BR34" si="18">G11</f>
        <v>2025_09_Sep</v>
      </c>
      <c r="H34" s="159" t="str">
        <f t="shared" si="18"/>
        <v>2025_10_Oct</v>
      </c>
      <c r="I34" s="159" t="str">
        <f t="shared" si="18"/>
        <v>2025_11_Nov</v>
      </c>
      <c r="J34" s="159" t="str">
        <f t="shared" si="18"/>
        <v>2025_12_Dic</v>
      </c>
      <c r="K34" s="159" t="str">
        <f t="shared" si="18"/>
        <v>2026_01_Ene</v>
      </c>
      <c r="L34" s="159" t="str">
        <f t="shared" si="18"/>
        <v>2026_02_Feb</v>
      </c>
      <c r="M34" s="159" t="str">
        <f t="shared" si="18"/>
        <v>2026_03_Mar</v>
      </c>
      <c r="N34" s="159" t="str">
        <f t="shared" si="18"/>
        <v>2026_04_Abr</v>
      </c>
      <c r="O34" s="159" t="str">
        <f t="shared" si="18"/>
        <v>2026_05_May</v>
      </c>
      <c r="P34" s="159" t="str">
        <f t="shared" si="18"/>
        <v>2026_06_Jun</v>
      </c>
      <c r="Q34" s="159" t="str">
        <f t="shared" si="18"/>
        <v>2026_07_Jul</v>
      </c>
      <c r="R34" s="159" t="str">
        <f t="shared" si="18"/>
        <v>2026_08_Ago</v>
      </c>
      <c r="S34" s="159" t="str">
        <f t="shared" si="18"/>
        <v>2026_09_Sep</v>
      </c>
      <c r="T34" s="159">
        <f t="shared" si="18"/>
        <v>0</v>
      </c>
      <c r="U34" s="159">
        <f>U11</f>
        <v>0</v>
      </c>
      <c r="V34" s="159">
        <f t="shared" si="18"/>
        <v>0</v>
      </c>
      <c r="W34" s="159">
        <f t="shared" si="18"/>
        <v>0</v>
      </c>
      <c r="X34" s="159">
        <f t="shared" si="18"/>
        <v>0</v>
      </c>
      <c r="Y34" s="159">
        <f t="shared" si="18"/>
        <v>0</v>
      </c>
      <c r="Z34" s="159">
        <f t="shared" si="18"/>
        <v>0</v>
      </c>
      <c r="AA34" s="159">
        <f t="shared" si="18"/>
        <v>0</v>
      </c>
      <c r="AB34" s="159">
        <f t="shared" si="18"/>
        <v>0</v>
      </c>
      <c r="AC34" s="159">
        <f t="shared" si="18"/>
        <v>0</v>
      </c>
      <c r="AD34" s="159">
        <f t="shared" si="18"/>
        <v>0</v>
      </c>
      <c r="AE34" s="159">
        <f t="shared" si="18"/>
        <v>0</v>
      </c>
      <c r="AF34" s="159">
        <f t="shared" si="18"/>
        <v>0</v>
      </c>
      <c r="AG34" s="159">
        <f t="shared" si="18"/>
        <v>0</v>
      </c>
      <c r="AH34" s="159">
        <f t="shared" si="18"/>
        <v>0</v>
      </c>
      <c r="AI34" s="159">
        <f t="shared" si="18"/>
        <v>0</v>
      </c>
      <c r="AJ34" s="159">
        <f t="shared" si="18"/>
        <v>0</v>
      </c>
      <c r="AK34" s="159">
        <f t="shared" si="18"/>
        <v>0</v>
      </c>
      <c r="AL34" s="159">
        <f t="shared" si="18"/>
        <v>0</v>
      </c>
      <c r="AM34" s="159">
        <f t="shared" si="18"/>
        <v>0</v>
      </c>
      <c r="AN34" s="159">
        <f t="shared" si="18"/>
        <v>0</v>
      </c>
      <c r="AO34" s="159">
        <f t="shared" si="18"/>
        <v>0</v>
      </c>
      <c r="AP34" s="159">
        <f t="shared" si="18"/>
        <v>0</v>
      </c>
      <c r="AQ34" s="159">
        <f t="shared" si="18"/>
        <v>0</v>
      </c>
      <c r="AR34" s="159">
        <f t="shared" si="18"/>
        <v>0</v>
      </c>
      <c r="AS34" s="159">
        <f t="shared" si="18"/>
        <v>0</v>
      </c>
      <c r="AT34" s="159">
        <f t="shared" si="18"/>
        <v>0</v>
      </c>
      <c r="AU34" s="159">
        <f t="shared" si="18"/>
        <v>0</v>
      </c>
      <c r="AV34" s="159">
        <f t="shared" si="18"/>
        <v>0</v>
      </c>
      <c r="AW34" s="159">
        <f t="shared" si="18"/>
        <v>0</v>
      </c>
      <c r="AX34" s="159">
        <f t="shared" si="18"/>
        <v>0</v>
      </c>
      <c r="AY34" s="159">
        <f t="shared" si="18"/>
        <v>0</v>
      </c>
      <c r="AZ34" s="159">
        <f t="shared" si="18"/>
        <v>0</v>
      </c>
      <c r="BA34" s="159">
        <f t="shared" si="18"/>
        <v>0</v>
      </c>
      <c r="BB34" s="159">
        <f t="shared" si="18"/>
        <v>0</v>
      </c>
      <c r="BC34" s="159">
        <f t="shared" si="18"/>
        <v>0</v>
      </c>
      <c r="BD34" s="159">
        <f t="shared" si="18"/>
        <v>0</v>
      </c>
      <c r="BE34" s="159">
        <f t="shared" si="18"/>
        <v>0</v>
      </c>
      <c r="BF34" s="159">
        <f t="shared" si="18"/>
        <v>0</v>
      </c>
      <c r="BG34" s="159">
        <f t="shared" si="18"/>
        <v>0</v>
      </c>
      <c r="BH34" s="159">
        <f t="shared" si="18"/>
        <v>0</v>
      </c>
      <c r="BI34" s="159">
        <f t="shared" si="18"/>
        <v>0</v>
      </c>
      <c r="BJ34" s="159">
        <f t="shared" si="18"/>
        <v>0</v>
      </c>
      <c r="BK34" s="159">
        <f t="shared" si="18"/>
        <v>0</v>
      </c>
      <c r="BL34" s="159">
        <f t="shared" si="18"/>
        <v>0</v>
      </c>
      <c r="BM34" s="159">
        <f t="shared" si="18"/>
        <v>0</v>
      </c>
      <c r="BN34" s="159">
        <f t="shared" si="18"/>
        <v>0</v>
      </c>
      <c r="BO34" s="159">
        <f t="shared" si="18"/>
        <v>0</v>
      </c>
      <c r="BP34" s="159">
        <f t="shared" si="18"/>
        <v>0</v>
      </c>
      <c r="BQ34" s="159">
        <f t="shared" si="18"/>
        <v>0</v>
      </c>
      <c r="BR34" s="159">
        <f t="shared" si="18"/>
        <v>0</v>
      </c>
      <c r="BS34" s="159">
        <f t="shared" ref="BS34:ED34" si="19">BS11</f>
        <v>0</v>
      </c>
      <c r="BT34" s="159">
        <f t="shared" si="19"/>
        <v>0</v>
      </c>
      <c r="BU34" s="159">
        <f t="shared" si="19"/>
        <v>0</v>
      </c>
      <c r="BV34" s="159">
        <f t="shared" si="19"/>
        <v>0</v>
      </c>
      <c r="BW34" s="159">
        <f t="shared" si="19"/>
        <v>0</v>
      </c>
      <c r="BX34" s="159">
        <f t="shared" si="19"/>
        <v>0</v>
      </c>
      <c r="BY34" s="159">
        <f t="shared" si="19"/>
        <v>0</v>
      </c>
      <c r="BZ34" s="159">
        <f t="shared" si="19"/>
        <v>0</v>
      </c>
      <c r="CA34" s="159">
        <f t="shared" si="19"/>
        <v>0</v>
      </c>
      <c r="CB34" s="159">
        <f t="shared" si="19"/>
        <v>0</v>
      </c>
      <c r="CC34" s="159">
        <f t="shared" si="19"/>
        <v>0</v>
      </c>
      <c r="CD34" s="159">
        <f t="shared" si="19"/>
        <v>0</v>
      </c>
      <c r="CE34" s="159">
        <f t="shared" si="19"/>
        <v>0</v>
      </c>
      <c r="CF34" s="159">
        <f t="shared" si="19"/>
        <v>0</v>
      </c>
      <c r="CG34" s="159">
        <f t="shared" si="19"/>
        <v>0</v>
      </c>
      <c r="CH34" s="159">
        <f t="shared" si="19"/>
        <v>0</v>
      </c>
      <c r="CI34" s="159">
        <f t="shared" si="19"/>
        <v>0</v>
      </c>
      <c r="CJ34" s="159">
        <f t="shared" si="19"/>
        <v>0</v>
      </c>
      <c r="CK34" s="159">
        <f t="shared" si="19"/>
        <v>0</v>
      </c>
      <c r="CL34" s="159">
        <f t="shared" si="19"/>
        <v>0</v>
      </c>
      <c r="CM34" s="159">
        <f t="shared" si="19"/>
        <v>0</v>
      </c>
      <c r="CN34" s="159">
        <f t="shared" si="19"/>
        <v>0</v>
      </c>
      <c r="CO34" s="159">
        <f t="shared" si="19"/>
        <v>0</v>
      </c>
      <c r="CP34" s="159">
        <f t="shared" si="19"/>
        <v>0</v>
      </c>
      <c r="CQ34" s="159">
        <f t="shared" si="19"/>
        <v>0</v>
      </c>
      <c r="CR34" s="159">
        <f t="shared" si="19"/>
        <v>0</v>
      </c>
      <c r="CS34" s="159">
        <f t="shared" si="19"/>
        <v>0</v>
      </c>
      <c r="CT34" s="159">
        <f t="shared" si="19"/>
        <v>0</v>
      </c>
      <c r="CU34" s="159">
        <f t="shared" si="19"/>
        <v>0</v>
      </c>
      <c r="CV34" s="159">
        <f t="shared" si="19"/>
        <v>0</v>
      </c>
      <c r="CW34" s="159">
        <f t="shared" si="19"/>
        <v>0</v>
      </c>
      <c r="CX34" s="159">
        <f t="shared" si="19"/>
        <v>0</v>
      </c>
      <c r="CY34" s="159">
        <f t="shared" si="19"/>
        <v>0</v>
      </c>
      <c r="CZ34" s="159">
        <f t="shared" si="19"/>
        <v>0</v>
      </c>
      <c r="DA34" s="159">
        <f t="shared" si="19"/>
        <v>0</v>
      </c>
      <c r="DB34" s="159">
        <f t="shared" si="19"/>
        <v>0</v>
      </c>
      <c r="DC34" s="159">
        <f t="shared" si="19"/>
        <v>0</v>
      </c>
      <c r="DD34" s="159">
        <f t="shared" si="19"/>
        <v>0</v>
      </c>
      <c r="DE34" s="159">
        <f t="shared" si="19"/>
        <v>0</v>
      </c>
      <c r="DF34" s="159">
        <f t="shared" si="19"/>
        <v>0</v>
      </c>
      <c r="DG34" s="159">
        <f t="shared" si="19"/>
        <v>0</v>
      </c>
      <c r="DH34" s="159">
        <f t="shared" si="19"/>
        <v>0</v>
      </c>
      <c r="DI34" s="159">
        <f t="shared" si="19"/>
        <v>0</v>
      </c>
      <c r="DJ34" s="159">
        <f t="shared" si="19"/>
        <v>0</v>
      </c>
      <c r="DK34" s="159">
        <f t="shared" si="19"/>
        <v>0</v>
      </c>
      <c r="DL34" s="159">
        <f t="shared" si="19"/>
        <v>0</v>
      </c>
      <c r="DM34" s="159">
        <f t="shared" si="19"/>
        <v>0</v>
      </c>
      <c r="DN34" s="159">
        <f t="shared" si="19"/>
        <v>0</v>
      </c>
      <c r="DO34" s="159">
        <f t="shared" si="19"/>
        <v>0</v>
      </c>
      <c r="DP34" s="159">
        <f t="shared" si="19"/>
        <v>0</v>
      </c>
      <c r="DQ34" s="159">
        <f t="shared" si="19"/>
        <v>0</v>
      </c>
      <c r="DR34" s="159">
        <f t="shared" si="19"/>
        <v>0</v>
      </c>
      <c r="DS34" s="159">
        <f t="shared" si="19"/>
        <v>0</v>
      </c>
      <c r="DT34" s="159">
        <f t="shared" si="19"/>
        <v>0</v>
      </c>
      <c r="DU34" s="159">
        <f t="shared" si="19"/>
        <v>0</v>
      </c>
      <c r="DV34" s="159">
        <f t="shared" si="19"/>
        <v>0</v>
      </c>
      <c r="DW34" s="159">
        <f t="shared" si="19"/>
        <v>0</v>
      </c>
      <c r="DX34" s="159">
        <f t="shared" si="19"/>
        <v>0</v>
      </c>
      <c r="DY34" s="159">
        <f t="shared" si="19"/>
        <v>0</v>
      </c>
      <c r="DZ34" s="159">
        <f t="shared" si="19"/>
        <v>0</v>
      </c>
      <c r="EA34" s="159">
        <f t="shared" si="19"/>
        <v>0</v>
      </c>
      <c r="EB34" s="159">
        <f t="shared" si="19"/>
        <v>0</v>
      </c>
      <c r="EC34" s="159">
        <f t="shared" si="19"/>
        <v>0</v>
      </c>
      <c r="ED34" s="159">
        <f t="shared" si="19"/>
        <v>0</v>
      </c>
      <c r="EE34" s="159">
        <f t="shared" ref="EE34:FZ34" si="20">EE11</f>
        <v>0</v>
      </c>
      <c r="EF34" s="159">
        <f t="shared" si="20"/>
        <v>0</v>
      </c>
      <c r="EG34" s="159">
        <f t="shared" si="20"/>
        <v>0</v>
      </c>
      <c r="EH34" s="159">
        <f t="shared" si="20"/>
        <v>0</v>
      </c>
      <c r="EI34" s="159">
        <f t="shared" si="20"/>
        <v>0</v>
      </c>
      <c r="EJ34" s="159">
        <f t="shared" si="20"/>
        <v>0</v>
      </c>
      <c r="EK34" s="159">
        <f t="shared" si="20"/>
        <v>0</v>
      </c>
      <c r="EL34" s="159">
        <f t="shared" si="20"/>
        <v>0</v>
      </c>
      <c r="EM34" s="159">
        <f t="shared" si="20"/>
        <v>0</v>
      </c>
      <c r="EN34" s="159">
        <f t="shared" si="20"/>
        <v>0</v>
      </c>
      <c r="EO34" s="159">
        <f t="shared" si="20"/>
        <v>0</v>
      </c>
      <c r="EP34" s="159">
        <f t="shared" si="20"/>
        <v>0</v>
      </c>
      <c r="EQ34" s="159">
        <f t="shared" si="20"/>
        <v>0</v>
      </c>
      <c r="ER34" s="159">
        <f t="shared" si="20"/>
        <v>0</v>
      </c>
      <c r="ES34" s="159">
        <f t="shared" si="20"/>
        <v>0</v>
      </c>
      <c r="ET34" s="159">
        <f t="shared" si="20"/>
        <v>0</v>
      </c>
      <c r="EU34" s="159">
        <f t="shared" si="20"/>
        <v>0</v>
      </c>
      <c r="EV34" s="159">
        <f t="shared" si="20"/>
        <v>0</v>
      </c>
      <c r="EW34" s="159">
        <f t="shared" si="20"/>
        <v>0</v>
      </c>
      <c r="EX34" s="159">
        <f t="shared" si="20"/>
        <v>0</v>
      </c>
      <c r="EY34" s="159">
        <f t="shared" si="20"/>
        <v>0</v>
      </c>
      <c r="EZ34" s="159">
        <f t="shared" si="20"/>
        <v>0</v>
      </c>
      <c r="FA34" s="159">
        <f t="shared" si="20"/>
        <v>0</v>
      </c>
      <c r="FB34" s="159">
        <f t="shared" si="20"/>
        <v>0</v>
      </c>
      <c r="FC34" s="159">
        <f t="shared" si="20"/>
        <v>0</v>
      </c>
      <c r="FD34" s="159">
        <f t="shared" si="20"/>
        <v>0</v>
      </c>
      <c r="FE34" s="159">
        <f t="shared" si="20"/>
        <v>0</v>
      </c>
      <c r="FF34" s="159">
        <f t="shared" si="20"/>
        <v>0</v>
      </c>
      <c r="FG34" s="159">
        <f t="shared" si="20"/>
        <v>0</v>
      </c>
      <c r="FH34" s="159">
        <f t="shared" si="20"/>
        <v>0</v>
      </c>
      <c r="FI34" s="159">
        <f t="shared" si="20"/>
        <v>0</v>
      </c>
      <c r="FJ34" s="159">
        <f t="shared" si="20"/>
        <v>0</v>
      </c>
      <c r="FK34" s="159">
        <f t="shared" si="20"/>
        <v>0</v>
      </c>
      <c r="FL34" s="159">
        <f t="shared" si="20"/>
        <v>0</v>
      </c>
      <c r="FM34" s="159">
        <f t="shared" si="20"/>
        <v>0</v>
      </c>
      <c r="FN34" s="159">
        <f t="shared" si="20"/>
        <v>0</v>
      </c>
      <c r="FO34" s="159">
        <f t="shared" si="20"/>
        <v>0</v>
      </c>
      <c r="FP34" s="159">
        <f t="shared" si="20"/>
        <v>0</v>
      </c>
      <c r="FQ34" s="159">
        <f t="shared" si="20"/>
        <v>0</v>
      </c>
      <c r="FR34" s="159">
        <f t="shared" si="20"/>
        <v>0</v>
      </c>
      <c r="FS34" s="159">
        <f t="shared" si="20"/>
        <v>0</v>
      </c>
      <c r="FT34" s="159">
        <f t="shared" si="20"/>
        <v>0</v>
      </c>
      <c r="FU34" s="159">
        <f t="shared" si="20"/>
        <v>0</v>
      </c>
      <c r="FV34" s="159">
        <f t="shared" si="20"/>
        <v>0</v>
      </c>
      <c r="FW34" s="159">
        <f t="shared" si="20"/>
        <v>0</v>
      </c>
      <c r="FX34" s="159">
        <f t="shared" si="20"/>
        <v>0</v>
      </c>
      <c r="FY34" s="159">
        <f t="shared" si="20"/>
        <v>0</v>
      </c>
      <c r="FZ34" s="159">
        <f t="shared" si="20"/>
        <v>0</v>
      </c>
    </row>
    <row r="35" spans="1:204" s="157" customFormat="1" ht="13.5">
      <c r="A35" s="119" t="str">
        <f>A12</f>
        <v>A4132</v>
      </c>
      <c r="B35" s="119" t="str">
        <f>B12</f>
        <v>DIAN</v>
      </c>
      <c r="C35" s="119" t="str">
        <f>C12</f>
        <v>Portal</v>
      </c>
      <c r="D35" s="156" t="s">
        <v>222</v>
      </c>
      <c r="E35" s="176">
        <f>IFERROR(1-(E25/E12),0)</f>
        <v>0.5279537426242773</v>
      </c>
      <c r="F35" s="158">
        <f>IFERROR(1-(F25/F12),0)</f>
        <v>0.55156928001101324</v>
      </c>
      <c r="G35" s="158">
        <f t="shared" ref="G35:H35" si="21">IFERROR(1-(G25/G12),0)</f>
        <v>0.55156928001101324</v>
      </c>
      <c r="H35" s="158">
        <f t="shared" si="21"/>
        <v>0.55156928001101324</v>
      </c>
      <c r="I35" s="158">
        <f t="shared" ref="I35:Q35" si="22">IFERROR(1-(I25/I12),0)</f>
        <v>0.55156928001101324</v>
      </c>
      <c r="J35" s="158">
        <f t="shared" si="22"/>
        <v>0.55156928001101324</v>
      </c>
      <c r="K35" s="158">
        <f t="shared" si="22"/>
        <v>0.55156928001101324</v>
      </c>
      <c r="L35" s="158">
        <f t="shared" si="22"/>
        <v>0</v>
      </c>
      <c r="M35" s="158">
        <f t="shared" si="22"/>
        <v>0</v>
      </c>
      <c r="N35" s="158">
        <f t="shared" si="22"/>
        <v>0</v>
      </c>
      <c r="O35" s="158">
        <f t="shared" si="22"/>
        <v>0</v>
      </c>
      <c r="P35" s="158">
        <f t="shared" si="22"/>
        <v>0</v>
      </c>
      <c r="Q35" s="158">
        <f t="shared" si="22"/>
        <v>0</v>
      </c>
      <c r="R35" s="158">
        <f t="shared" ref="R35:CC35" si="23">IFERROR(1-(R25/R12),0)</f>
        <v>0</v>
      </c>
      <c r="S35" s="158">
        <f t="shared" si="23"/>
        <v>0</v>
      </c>
      <c r="T35" s="158">
        <f t="shared" si="23"/>
        <v>0</v>
      </c>
      <c r="U35" s="158">
        <f t="shared" si="23"/>
        <v>0</v>
      </c>
      <c r="V35" s="158">
        <f t="shared" si="23"/>
        <v>0</v>
      </c>
      <c r="W35" s="158">
        <f t="shared" si="23"/>
        <v>0</v>
      </c>
      <c r="X35" s="158">
        <f t="shared" si="23"/>
        <v>0</v>
      </c>
      <c r="Y35" s="158">
        <f t="shared" si="23"/>
        <v>0</v>
      </c>
      <c r="Z35" s="158">
        <f t="shared" si="23"/>
        <v>0</v>
      </c>
      <c r="AA35" s="158">
        <f t="shared" si="23"/>
        <v>0</v>
      </c>
      <c r="AB35" s="158">
        <f t="shared" si="23"/>
        <v>0</v>
      </c>
      <c r="AC35" s="158">
        <f t="shared" si="23"/>
        <v>0</v>
      </c>
      <c r="AD35" s="158">
        <f t="shared" si="23"/>
        <v>0</v>
      </c>
      <c r="AE35" s="158">
        <f t="shared" si="23"/>
        <v>0</v>
      </c>
      <c r="AF35" s="158">
        <f t="shared" si="23"/>
        <v>0</v>
      </c>
      <c r="AG35" s="158">
        <f t="shared" si="23"/>
        <v>0</v>
      </c>
      <c r="AH35" s="158">
        <f t="shared" si="23"/>
        <v>0</v>
      </c>
      <c r="AI35" s="158">
        <f t="shared" si="23"/>
        <v>0</v>
      </c>
      <c r="AJ35" s="158">
        <f t="shared" si="23"/>
        <v>0</v>
      </c>
      <c r="AK35" s="158">
        <f t="shared" si="23"/>
        <v>0</v>
      </c>
      <c r="AL35" s="158">
        <f t="shared" si="23"/>
        <v>0</v>
      </c>
      <c r="AM35" s="158">
        <f t="shared" si="23"/>
        <v>0</v>
      </c>
      <c r="AN35" s="158">
        <f t="shared" si="23"/>
        <v>0</v>
      </c>
      <c r="AO35" s="158">
        <f t="shared" si="23"/>
        <v>0</v>
      </c>
      <c r="AP35" s="158">
        <f t="shared" si="23"/>
        <v>0</v>
      </c>
      <c r="AQ35" s="158">
        <f t="shared" si="23"/>
        <v>0</v>
      </c>
      <c r="AR35" s="158">
        <f t="shared" si="23"/>
        <v>0</v>
      </c>
      <c r="AS35" s="158">
        <f t="shared" si="23"/>
        <v>0</v>
      </c>
      <c r="AT35" s="158">
        <f t="shared" si="23"/>
        <v>0</v>
      </c>
      <c r="AU35" s="158">
        <f t="shared" si="23"/>
        <v>0</v>
      </c>
      <c r="AV35" s="158">
        <f t="shared" si="23"/>
        <v>0</v>
      </c>
      <c r="AW35" s="158">
        <f t="shared" si="23"/>
        <v>0</v>
      </c>
      <c r="AX35" s="158">
        <f t="shared" si="23"/>
        <v>0</v>
      </c>
      <c r="AY35" s="158">
        <f t="shared" si="23"/>
        <v>0</v>
      </c>
      <c r="AZ35" s="158">
        <f t="shared" si="23"/>
        <v>0</v>
      </c>
      <c r="BA35" s="158">
        <f t="shared" si="23"/>
        <v>0</v>
      </c>
      <c r="BB35" s="158">
        <f t="shared" si="23"/>
        <v>0</v>
      </c>
      <c r="BC35" s="158">
        <f t="shared" si="23"/>
        <v>0</v>
      </c>
      <c r="BD35" s="158">
        <f t="shared" si="23"/>
        <v>0</v>
      </c>
      <c r="BE35" s="158">
        <f t="shared" si="23"/>
        <v>0</v>
      </c>
      <c r="BF35" s="158">
        <f t="shared" si="23"/>
        <v>0</v>
      </c>
      <c r="BG35" s="158">
        <f t="shared" si="23"/>
        <v>0</v>
      </c>
      <c r="BH35" s="158">
        <f t="shared" si="23"/>
        <v>0</v>
      </c>
      <c r="BI35" s="158">
        <f t="shared" si="23"/>
        <v>0</v>
      </c>
      <c r="BJ35" s="158">
        <f t="shared" si="23"/>
        <v>0</v>
      </c>
      <c r="BK35" s="158">
        <f t="shared" si="23"/>
        <v>0</v>
      </c>
      <c r="BL35" s="158">
        <f t="shared" si="23"/>
        <v>0</v>
      </c>
      <c r="BM35" s="158">
        <f t="shared" si="23"/>
        <v>0</v>
      </c>
      <c r="BN35" s="158">
        <f t="shared" si="23"/>
        <v>0</v>
      </c>
      <c r="BO35" s="158">
        <f t="shared" si="23"/>
        <v>0</v>
      </c>
      <c r="BP35" s="158">
        <f t="shared" si="23"/>
        <v>0</v>
      </c>
      <c r="BQ35" s="158">
        <f t="shared" si="23"/>
        <v>0</v>
      </c>
      <c r="BR35" s="158">
        <f t="shared" si="23"/>
        <v>0</v>
      </c>
      <c r="BS35" s="158">
        <f t="shared" si="23"/>
        <v>0</v>
      </c>
      <c r="BT35" s="158">
        <f t="shared" si="23"/>
        <v>0</v>
      </c>
      <c r="BU35" s="158">
        <f t="shared" si="23"/>
        <v>0</v>
      </c>
      <c r="BV35" s="158">
        <f t="shared" si="23"/>
        <v>0</v>
      </c>
      <c r="BW35" s="158">
        <f t="shared" si="23"/>
        <v>0</v>
      </c>
      <c r="BX35" s="158">
        <f t="shared" si="23"/>
        <v>0</v>
      </c>
      <c r="BY35" s="158">
        <f t="shared" si="23"/>
        <v>0</v>
      </c>
      <c r="BZ35" s="158">
        <f t="shared" si="23"/>
        <v>0</v>
      </c>
      <c r="CA35" s="158">
        <f t="shared" si="23"/>
        <v>0</v>
      </c>
      <c r="CB35" s="158">
        <f t="shared" si="23"/>
        <v>0</v>
      </c>
      <c r="CC35" s="158">
        <f t="shared" si="23"/>
        <v>0</v>
      </c>
      <c r="CD35" s="158">
        <f t="shared" ref="CD35:EO35" si="24">IFERROR(1-(CD25/CD12),0)</f>
        <v>0</v>
      </c>
      <c r="CE35" s="158">
        <f t="shared" si="24"/>
        <v>0</v>
      </c>
      <c r="CF35" s="158">
        <f t="shared" si="24"/>
        <v>0</v>
      </c>
      <c r="CG35" s="158">
        <f t="shared" si="24"/>
        <v>0</v>
      </c>
      <c r="CH35" s="158">
        <f t="shared" si="24"/>
        <v>0</v>
      </c>
      <c r="CI35" s="158">
        <f t="shared" si="24"/>
        <v>0</v>
      </c>
      <c r="CJ35" s="158">
        <f t="shared" si="24"/>
        <v>0</v>
      </c>
      <c r="CK35" s="158">
        <f t="shared" si="24"/>
        <v>0</v>
      </c>
      <c r="CL35" s="158">
        <f t="shared" si="24"/>
        <v>0</v>
      </c>
      <c r="CM35" s="158">
        <f t="shared" si="24"/>
        <v>0</v>
      </c>
      <c r="CN35" s="158">
        <f t="shared" si="24"/>
        <v>0</v>
      </c>
      <c r="CO35" s="158">
        <f t="shared" si="24"/>
        <v>0</v>
      </c>
      <c r="CP35" s="158">
        <f t="shared" si="24"/>
        <v>0</v>
      </c>
      <c r="CQ35" s="158">
        <f t="shared" si="24"/>
        <v>0</v>
      </c>
      <c r="CR35" s="158">
        <f t="shared" si="24"/>
        <v>0</v>
      </c>
      <c r="CS35" s="158">
        <f t="shared" si="24"/>
        <v>0</v>
      </c>
      <c r="CT35" s="158">
        <f t="shared" si="24"/>
        <v>0</v>
      </c>
      <c r="CU35" s="158">
        <f t="shared" si="24"/>
        <v>0</v>
      </c>
      <c r="CV35" s="158">
        <f t="shared" si="24"/>
        <v>0</v>
      </c>
      <c r="CW35" s="158">
        <f t="shared" si="24"/>
        <v>0</v>
      </c>
      <c r="CX35" s="158">
        <f t="shared" si="24"/>
        <v>0</v>
      </c>
      <c r="CY35" s="158">
        <f t="shared" si="24"/>
        <v>0</v>
      </c>
      <c r="CZ35" s="158">
        <f t="shared" si="24"/>
        <v>0</v>
      </c>
      <c r="DA35" s="158">
        <f t="shared" si="24"/>
        <v>0</v>
      </c>
      <c r="DB35" s="158">
        <f t="shared" si="24"/>
        <v>0</v>
      </c>
      <c r="DC35" s="158">
        <f t="shared" si="24"/>
        <v>0</v>
      </c>
      <c r="DD35" s="158">
        <f t="shared" si="24"/>
        <v>0</v>
      </c>
      <c r="DE35" s="158">
        <f t="shared" si="24"/>
        <v>0</v>
      </c>
      <c r="DF35" s="158">
        <f t="shared" si="24"/>
        <v>0</v>
      </c>
      <c r="DG35" s="158">
        <f t="shared" si="24"/>
        <v>0</v>
      </c>
      <c r="DH35" s="158">
        <f t="shared" si="24"/>
        <v>0</v>
      </c>
      <c r="DI35" s="158">
        <f t="shared" si="24"/>
        <v>0</v>
      </c>
      <c r="DJ35" s="158">
        <f t="shared" si="24"/>
        <v>0</v>
      </c>
      <c r="DK35" s="158">
        <f t="shared" si="24"/>
        <v>0</v>
      </c>
      <c r="DL35" s="158">
        <f t="shared" si="24"/>
        <v>0</v>
      </c>
      <c r="DM35" s="158">
        <f t="shared" si="24"/>
        <v>0</v>
      </c>
      <c r="DN35" s="158">
        <f t="shared" si="24"/>
        <v>0</v>
      </c>
      <c r="DO35" s="158">
        <f t="shared" si="24"/>
        <v>0</v>
      </c>
      <c r="DP35" s="158">
        <f t="shared" si="24"/>
        <v>0</v>
      </c>
      <c r="DQ35" s="158">
        <f t="shared" si="24"/>
        <v>0</v>
      </c>
      <c r="DR35" s="158">
        <f t="shared" si="24"/>
        <v>0</v>
      </c>
      <c r="DS35" s="158">
        <f t="shared" si="24"/>
        <v>0</v>
      </c>
      <c r="DT35" s="158">
        <f t="shared" si="24"/>
        <v>0</v>
      </c>
      <c r="DU35" s="158">
        <f t="shared" si="24"/>
        <v>0</v>
      </c>
      <c r="DV35" s="158">
        <f t="shared" si="24"/>
        <v>0</v>
      </c>
      <c r="DW35" s="158">
        <f t="shared" si="24"/>
        <v>0</v>
      </c>
      <c r="DX35" s="158">
        <f t="shared" si="24"/>
        <v>0</v>
      </c>
      <c r="DY35" s="158">
        <f t="shared" si="24"/>
        <v>0</v>
      </c>
      <c r="DZ35" s="158">
        <f t="shared" si="24"/>
        <v>0</v>
      </c>
      <c r="EA35" s="158">
        <f t="shared" si="24"/>
        <v>0</v>
      </c>
      <c r="EB35" s="158">
        <f t="shared" si="24"/>
        <v>0</v>
      </c>
      <c r="EC35" s="158">
        <f t="shared" si="24"/>
        <v>0</v>
      </c>
      <c r="ED35" s="158">
        <f t="shared" si="24"/>
        <v>0</v>
      </c>
      <c r="EE35" s="158">
        <f t="shared" si="24"/>
        <v>0</v>
      </c>
      <c r="EF35" s="158">
        <f t="shared" si="24"/>
        <v>0</v>
      </c>
      <c r="EG35" s="158">
        <f t="shared" si="24"/>
        <v>0</v>
      </c>
      <c r="EH35" s="158">
        <f t="shared" si="24"/>
        <v>0</v>
      </c>
      <c r="EI35" s="158">
        <f t="shared" si="24"/>
        <v>0</v>
      </c>
      <c r="EJ35" s="158">
        <f t="shared" si="24"/>
        <v>0</v>
      </c>
      <c r="EK35" s="158">
        <f t="shared" si="24"/>
        <v>0</v>
      </c>
      <c r="EL35" s="158">
        <f t="shared" si="24"/>
        <v>0</v>
      </c>
      <c r="EM35" s="158">
        <f t="shared" si="24"/>
        <v>0</v>
      </c>
      <c r="EN35" s="158">
        <f t="shared" si="24"/>
        <v>0</v>
      </c>
      <c r="EO35" s="158">
        <f t="shared" si="24"/>
        <v>0</v>
      </c>
      <c r="EP35" s="158">
        <f t="shared" ref="EP35:GV35" si="25">IFERROR(1-(EP25/EP12),0)</f>
        <v>0</v>
      </c>
      <c r="EQ35" s="158">
        <f t="shared" si="25"/>
        <v>0</v>
      </c>
      <c r="ER35" s="158">
        <f t="shared" si="25"/>
        <v>0</v>
      </c>
      <c r="ES35" s="158">
        <f t="shared" si="25"/>
        <v>0</v>
      </c>
      <c r="ET35" s="158">
        <f t="shared" si="25"/>
        <v>0</v>
      </c>
      <c r="EU35" s="158">
        <f t="shared" si="25"/>
        <v>0</v>
      </c>
      <c r="EV35" s="158">
        <f t="shared" si="25"/>
        <v>0</v>
      </c>
      <c r="EW35" s="158">
        <f t="shared" si="25"/>
        <v>0</v>
      </c>
      <c r="EX35" s="158">
        <f t="shared" si="25"/>
        <v>0</v>
      </c>
      <c r="EY35" s="158">
        <f t="shared" si="25"/>
        <v>0</v>
      </c>
      <c r="EZ35" s="158">
        <f t="shared" si="25"/>
        <v>0</v>
      </c>
      <c r="FA35" s="158">
        <f t="shared" si="25"/>
        <v>0</v>
      </c>
      <c r="FB35" s="158">
        <f t="shared" si="25"/>
        <v>0</v>
      </c>
      <c r="FC35" s="158">
        <f t="shared" si="25"/>
        <v>0</v>
      </c>
      <c r="FD35" s="158">
        <f t="shared" si="25"/>
        <v>0</v>
      </c>
      <c r="FE35" s="158">
        <f t="shared" si="25"/>
        <v>0</v>
      </c>
      <c r="FF35" s="158">
        <f t="shared" si="25"/>
        <v>0</v>
      </c>
      <c r="FG35" s="158">
        <f t="shared" si="25"/>
        <v>0</v>
      </c>
      <c r="FH35" s="158">
        <f t="shared" si="25"/>
        <v>0</v>
      </c>
      <c r="FI35" s="158">
        <f t="shared" si="25"/>
        <v>0</v>
      </c>
      <c r="FJ35" s="158">
        <f t="shared" si="25"/>
        <v>0</v>
      </c>
      <c r="FK35" s="158">
        <f t="shared" si="25"/>
        <v>0</v>
      </c>
      <c r="FL35" s="158">
        <f t="shared" si="25"/>
        <v>0</v>
      </c>
      <c r="FM35" s="158">
        <f t="shared" si="25"/>
        <v>0</v>
      </c>
      <c r="FN35" s="158">
        <f t="shared" si="25"/>
        <v>0</v>
      </c>
      <c r="FO35" s="158">
        <f t="shared" si="25"/>
        <v>0</v>
      </c>
      <c r="FP35" s="158">
        <f t="shared" si="25"/>
        <v>0</v>
      </c>
      <c r="FQ35" s="158">
        <f t="shared" si="25"/>
        <v>0</v>
      </c>
      <c r="FR35" s="158">
        <f t="shared" si="25"/>
        <v>0</v>
      </c>
      <c r="FS35" s="158">
        <f t="shared" si="25"/>
        <v>0</v>
      </c>
      <c r="FT35" s="158">
        <f t="shared" si="25"/>
        <v>0</v>
      </c>
      <c r="FU35" s="158">
        <f t="shared" si="25"/>
        <v>0</v>
      </c>
      <c r="FV35" s="158">
        <f t="shared" si="25"/>
        <v>0</v>
      </c>
      <c r="FW35" s="158">
        <f t="shared" si="25"/>
        <v>0</v>
      </c>
      <c r="FX35" s="158">
        <f t="shared" si="25"/>
        <v>0</v>
      </c>
      <c r="FY35" s="158">
        <f t="shared" si="25"/>
        <v>0</v>
      </c>
      <c r="FZ35" s="158">
        <f t="shared" si="25"/>
        <v>0</v>
      </c>
      <c r="GA35" s="158">
        <f t="shared" si="25"/>
        <v>0</v>
      </c>
      <c r="GB35" s="158">
        <f t="shared" si="25"/>
        <v>0</v>
      </c>
      <c r="GC35" s="158">
        <f t="shared" si="25"/>
        <v>0</v>
      </c>
      <c r="GD35" s="158">
        <f t="shared" si="25"/>
        <v>0</v>
      </c>
      <c r="GE35" s="158">
        <f t="shared" si="25"/>
        <v>0</v>
      </c>
      <c r="GF35" s="158">
        <f t="shared" si="25"/>
        <v>0</v>
      </c>
      <c r="GG35" s="158">
        <f t="shared" si="25"/>
        <v>0</v>
      </c>
      <c r="GH35" s="158">
        <f t="shared" si="25"/>
        <v>0</v>
      </c>
      <c r="GI35" s="158">
        <f t="shared" si="25"/>
        <v>0</v>
      </c>
      <c r="GJ35" s="158">
        <f t="shared" si="25"/>
        <v>0</v>
      </c>
      <c r="GK35" s="158">
        <f t="shared" si="25"/>
        <v>0</v>
      </c>
      <c r="GL35" s="158">
        <f t="shared" si="25"/>
        <v>0</v>
      </c>
      <c r="GM35" s="158">
        <f t="shared" si="25"/>
        <v>0</v>
      </c>
      <c r="GN35" s="158">
        <f t="shared" si="25"/>
        <v>0</v>
      </c>
      <c r="GO35" s="158">
        <f t="shared" si="25"/>
        <v>0</v>
      </c>
      <c r="GP35" s="158">
        <f t="shared" si="25"/>
        <v>0</v>
      </c>
      <c r="GQ35" s="158">
        <f t="shared" si="25"/>
        <v>0</v>
      </c>
      <c r="GR35" s="158">
        <f t="shared" si="25"/>
        <v>0</v>
      </c>
      <c r="GS35" s="158">
        <f t="shared" si="25"/>
        <v>0</v>
      </c>
      <c r="GT35" s="158">
        <f t="shared" si="25"/>
        <v>0</v>
      </c>
      <c r="GU35" s="158">
        <f t="shared" si="25"/>
        <v>0</v>
      </c>
      <c r="GV35" s="158">
        <f t="shared" si="25"/>
        <v>0</v>
      </c>
    </row>
    <row r="36" spans="1:204" s="157" customFormat="1" ht="13.5">
      <c r="A36" s="119" t="str">
        <f t="shared" ref="A36:C36" si="26">A13</f>
        <v>A4132</v>
      </c>
      <c r="B36" s="119" t="str">
        <f t="shared" si="26"/>
        <v>DIAN</v>
      </c>
      <c r="C36" s="119" t="str">
        <f t="shared" si="26"/>
        <v>Portal</v>
      </c>
      <c r="D36" s="156" t="s">
        <v>223</v>
      </c>
      <c r="E36" s="176">
        <f>IFERROR(1-(E26/E13),0)</f>
        <v>0</v>
      </c>
      <c r="F36" s="158">
        <f>IFERROR(1-(F26/F13),0)</f>
        <v>0</v>
      </c>
      <c r="G36" s="158">
        <f>IFERROR(1-(G26/G13),0)</f>
        <v>0</v>
      </c>
      <c r="H36" s="158">
        <f t="shared" ref="H36:P36" si="27">IFERROR(1-(H26/H13),0)</f>
        <v>0.5515825908595603</v>
      </c>
      <c r="I36" s="158">
        <f t="shared" si="27"/>
        <v>0.5515825908595603</v>
      </c>
      <c r="J36" s="158">
        <f t="shared" si="27"/>
        <v>0.5515825908595603</v>
      </c>
      <c r="K36" s="158">
        <f t="shared" si="27"/>
        <v>0.5515825908595603</v>
      </c>
      <c r="L36" s="158">
        <f t="shared" si="27"/>
        <v>0.5515825908595603</v>
      </c>
      <c r="M36" s="158">
        <f t="shared" si="27"/>
        <v>0.5515825908595603</v>
      </c>
      <c r="N36" s="158">
        <f t="shared" si="27"/>
        <v>0.5515825908595603</v>
      </c>
      <c r="O36" s="158">
        <f t="shared" si="27"/>
        <v>0.5515825908595603</v>
      </c>
      <c r="P36" s="158">
        <f t="shared" si="27"/>
        <v>0.5515825908595603</v>
      </c>
      <c r="Q36" s="158">
        <f t="shared" ref="Q36:CB36" si="28">IFERROR(1-(Q26/Q13),0)</f>
        <v>0.5515825908595603</v>
      </c>
      <c r="R36" s="158">
        <f t="shared" si="28"/>
        <v>0.5515825908595603</v>
      </c>
      <c r="S36" s="158">
        <f t="shared" si="28"/>
        <v>0.5515825908595603</v>
      </c>
      <c r="T36" s="158">
        <f t="shared" si="28"/>
        <v>0</v>
      </c>
      <c r="U36" s="158">
        <f t="shared" si="28"/>
        <v>0</v>
      </c>
      <c r="V36" s="158">
        <f t="shared" si="28"/>
        <v>0</v>
      </c>
      <c r="W36" s="158">
        <f t="shared" si="28"/>
        <v>0</v>
      </c>
      <c r="X36" s="158">
        <f t="shared" si="28"/>
        <v>0</v>
      </c>
      <c r="Y36" s="158">
        <f t="shared" si="28"/>
        <v>0</v>
      </c>
      <c r="Z36" s="158">
        <f t="shared" si="28"/>
        <v>0</v>
      </c>
      <c r="AA36" s="158">
        <f t="shared" si="28"/>
        <v>0</v>
      </c>
      <c r="AB36" s="158">
        <f t="shared" si="28"/>
        <v>0</v>
      </c>
      <c r="AC36" s="158">
        <f t="shared" si="28"/>
        <v>0</v>
      </c>
      <c r="AD36" s="158">
        <f t="shared" si="28"/>
        <v>0</v>
      </c>
      <c r="AE36" s="158">
        <f t="shared" si="28"/>
        <v>0</v>
      </c>
      <c r="AF36" s="158">
        <f t="shared" si="28"/>
        <v>0</v>
      </c>
      <c r="AG36" s="158">
        <f t="shared" si="28"/>
        <v>0</v>
      </c>
      <c r="AH36" s="158">
        <f t="shared" si="28"/>
        <v>0</v>
      </c>
      <c r="AI36" s="158">
        <f t="shared" si="28"/>
        <v>0</v>
      </c>
      <c r="AJ36" s="158">
        <f t="shared" si="28"/>
        <v>0</v>
      </c>
      <c r="AK36" s="158">
        <f t="shared" si="28"/>
        <v>0</v>
      </c>
      <c r="AL36" s="158">
        <f t="shared" si="28"/>
        <v>0</v>
      </c>
      <c r="AM36" s="158">
        <f t="shared" si="28"/>
        <v>0</v>
      </c>
      <c r="AN36" s="158">
        <f t="shared" si="28"/>
        <v>0</v>
      </c>
      <c r="AO36" s="158">
        <f t="shared" si="28"/>
        <v>0</v>
      </c>
      <c r="AP36" s="158">
        <f t="shared" si="28"/>
        <v>0</v>
      </c>
      <c r="AQ36" s="158">
        <f t="shared" si="28"/>
        <v>0</v>
      </c>
      <c r="AR36" s="158">
        <f t="shared" si="28"/>
        <v>0</v>
      </c>
      <c r="AS36" s="158">
        <f t="shared" si="28"/>
        <v>0</v>
      </c>
      <c r="AT36" s="158">
        <f t="shared" si="28"/>
        <v>0</v>
      </c>
      <c r="AU36" s="158">
        <f t="shared" si="28"/>
        <v>0</v>
      </c>
      <c r="AV36" s="158">
        <f t="shared" si="28"/>
        <v>0</v>
      </c>
      <c r="AW36" s="158">
        <f t="shared" si="28"/>
        <v>0</v>
      </c>
      <c r="AX36" s="158">
        <f t="shared" si="28"/>
        <v>0</v>
      </c>
      <c r="AY36" s="158">
        <f t="shared" si="28"/>
        <v>0</v>
      </c>
      <c r="AZ36" s="158">
        <f t="shared" si="28"/>
        <v>0</v>
      </c>
      <c r="BA36" s="158">
        <f t="shared" si="28"/>
        <v>0</v>
      </c>
      <c r="BB36" s="158">
        <f t="shared" si="28"/>
        <v>0</v>
      </c>
      <c r="BC36" s="158">
        <f t="shared" si="28"/>
        <v>0</v>
      </c>
      <c r="BD36" s="158">
        <f t="shared" si="28"/>
        <v>0</v>
      </c>
      <c r="BE36" s="158">
        <f t="shared" si="28"/>
        <v>0</v>
      </c>
      <c r="BF36" s="158">
        <f t="shared" si="28"/>
        <v>0</v>
      </c>
      <c r="BG36" s="158">
        <f t="shared" si="28"/>
        <v>0</v>
      </c>
      <c r="BH36" s="158">
        <f t="shared" si="28"/>
        <v>0</v>
      </c>
      <c r="BI36" s="158">
        <f t="shared" si="28"/>
        <v>0</v>
      </c>
      <c r="BJ36" s="158">
        <f t="shared" si="28"/>
        <v>0</v>
      </c>
      <c r="BK36" s="158">
        <f t="shared" si="28"/>
        <v>0</v>
      </c>
      <c r="BL36" s="158">
        <f t="shared" si="28"/>
        <v>0</v>
      </c>
      <c r="BM36" s="158">
        <f t="shared" si="28"/>
        <v>0</v>
      </c>
      <c r="BN36" s="158">
        <f t="shared" si="28"/>
        <v>0</v>
      </c>
      <c r="BO36" s="158">
        <f t="shared" si="28"/>
        <v>0</v>
      </c>
      <c r="BP36" s="158">
        <f t="shared" si="28"/>
        <v>0</v>
      </c>
      <c r="BQ36" s="158">
        <f t="shared" si="28"/>
        <v>0</v>
      </c>
      <c r="BR36" s="158">
        <f t="shared" si="28"/>
        <v>0</v>
      </c>
      <c r="BS36" s="158">
        <f t="shared" si="28"/>
        <v>0</v>
      </c>
      <c r="BT36" s="158">
        <f t="shared" si="28"/>
        <v>0</v>
      </c>
      <c r="BU36" s="158">
        <f t="shared" si="28"/>
        <v>0</v>
      </c>
      <c r="BV36" s="158">
        <f t="shared" si="28"/>
        <v>0</v>
      </c>
      <c r="BW36" s="158">
        <f t="shared" si="28"/>
        <v>0</v>
      </c>
      <c r="BX36" s="158">
        <f t="shared" si="28"/>
        <v>0</v>
      </c>
      <c r="BY36" s="158">
        <f t="shared" si="28"/>
        <v>0</v>
      </c>
      <c r="BZ36" s="158">
        <f t="shared" si="28"/>
        <v>0</v>
      </c>
      <c r="CA36" s="158">
        <f t="shared" si="28"/>
        <v>0</v>
      </c>
      <c r="CB36" s="158">
        <f t="shared" si="28"/>
        <v>0</v>
      </c>
      <c r="CC36" s="158">
        <f t="shared" ref="CC36:EN36" si="29">IFERROR(1-(CC26/CC13),0)</f>
        <v>0</v>
      </c>
      <c r="CD36" s="158">
        <f t="shared" si="29"/>
        <v>0</v>
      </c>
      <c r="CE36" s="158">
        <f t="shared" si="29"/>
        <v>0</v>
      </c>
      <c r="CF36" s="158">
        <f t="shared" si="29"/>
        <v>0</v>
      </c>
      <c r="CG36" s="158">
        <f t="shared" si="29"/>
        <v>0</v>
      </c>
      <c r="CH36" s="158">
        <f t="shared" si="29"/>
        <v>0</v>
      </c>
      <c r="CI36" s="158">
        <f t="shared" si="29"/>
        <v>0</v>
      </c>
      <c r="CJ36" s="158">
        <f t="shared" si="29"/>
        <v>0</v>
      </c>
      <c r="CK36" s="158">
        <f t="shared" si="29"/>
        <v>0</v>
      </c>
      <c r="CL36" s="158">
        <f t="shared" si="29"/>
        <v>0</v>
      </c>
      <c r="CM36" s="158">
        <f t="shared" si="29"/>
        <v>0</v>
      </c>
      <c r="CN36" s="158">
        <f t="shared" si="29"/>
        <v>0</v>
      </c>
      <c r="CO36" s="158">
        <f t="shared" si="29"/>
        <v>0</v>
      </c>
      <c r="CP36" s="158">
        <f t="shared" si="29"/>
        <v>0</v>
      </c>
      <c r="CQ36" s="158">
        <f t="shared" si="29"/>
        <v>0</v>
      </c>
      <c r="CR36" s="158">
        <f t="shared" si="29"/>
        <v>0</v>
      </c>
      <c r="CS36" s="158">
        <f t="shared" si="29"/>
        <v>0</v>
      </c>
      <c r="CT36" s="158">
        <f t="shared" si="29"/>
        <v>0</v>
      </c>
      <c r="CU36" s="158">
        <f t="shared" si="29"/>
        <v>0</v>
      </c>
      <c r="CV36" s="158">
        <f t="shared" si="29"/>
        <v>0</v>
      </c>
      <c r="CW36" s="158">
        <f t="shared" si="29"/>
        <v>0</v>
      </c>
      <c r="CX36" s="158">
        <f t="shared" si="29"/>
        <v>0</v>
      </c>
      <c r="CY36" s="158">
        <f t="shared" si="29"/>
        <v>0</v>
      </c>
      <c r="CZ36" s="158">
        <f t="shared" si="29"/>
        <v>0</v>
      </c>
      <c r="DA36" s="158">
        <f t="shared" si="29"/>
        <v>0</v>
      </c>
      <c r="DB36" s="158">
        <f t="shared" si="29"/>
        <v>0</v>
      </c>
      <c r="DC36" s="158">
        <f t="shared" si="29"/>
        <v>0</v>
      </c>
      <c r="DD36" s="158">
        <f t="shared" si="29"/>
        <v>0</v>
      </c>
      <c r="DE36" s="158">
        <f t="shared" si="29"/>
        <v>0</v>
      </c>
      <c r="DF36" s="158">
        <f t="shared" si="29"/>
        <v>0</v>
      </c>
      <c r="DG36" s="158">
        <f t="shared" si="29"/>
        <v>0</v>
      </c>
      <c r="DH36" s="158">
        <f t="shared" si="29"/>
        <v>0</v>
      </c>
      <c r="DI36" s="158">
        <f t="shared" si="29"/>
        <v>0</v>
      </c>
      <c r="DJ36" s="158">
        <f t="shared" si="29"/>
        <v>0</v>
      </c>
      <c r="DK36" s="158">
        <f t="shared" si="29"/>
        <v>0</v>
      </c>
      <c r="DL36" s="158">
        <f t="shared" si="29"/>
        <v>0</v>
      </c>
      <c r="DM36" s="158">
        <f t="shared" si="29"/>
        <v>0</v>
      </c>
      <c r="DN36" s="158">
        <f t="shared" si="29"/>
        <v>0</v>
      </c>
      <c r="DO36" s="158">
        <f t="shared" si="29"/>
        <v>0</v>
      </c>
      <c r="DP36" s="158">
        <f t="shared" si="29"/>
        <v>0</v>
      </c>
      <c r="DQ36" s="158">
        <f t="shared" si="29"/>
        <v>0</v>
      </c>
      <c r="DR36" s="158">
        <f t="shared" si="29"/>
        <v>0</v>
      </c>
      <c r="DS36" s="158">
        <f t="shared" si="29"/>
        <v>0</v>
      </c>
      <c r="DT36" s="158">
        <f t="shared" si="29"/>
        <v>0</v>
      </c>
      <c r="DU36" s="158">
        <f t="shared" si="29"/>
        <v>0</v>
      </c>
      <c r="DV36" s="158">
        <f t="shared" si="29"/>
        <v>0</v>
      </c>
      <c r="DW36" s="158">
        <f t="shared" si="29"/>
        <v>0</v>
      </c>
      <c r="DX36" s="158">
        <f t="shared" si="29"/>
        <v>0</v>
      </c>
      <c r="DY36" s="158">
        <f t="shared" si="29"/>
        <v>0</v>
      </c>
      <c r="DZ36" s="158">
        <f t="shared" si="29"/>
        <v>0</v>
      </c>
      <c r="EA36" s="158">
        <f t="shared" si="29"/>
        <v>0</v>
      </c>
      <c r="EB36" s="158">
        <f t="shared" si="29"/>
        <v>0</v>
      </c>
      <c r="EC36" s="158">
        <f t="shared" si="29"/>
        <v>0</v>
      </c>
      <c r="ED36" s="158">
        <f t="shared" si="29"/>
        <v>0</v>
      </c>
      <c r="EE36" s="158">
        <f t="shared" si="29"/>
        <v>0</v>
      </c>
      <c r="EF36" s="158">
        <f t="shared" si="29"/>
        <v>0</v>
      </c>
      <c r="EG36" s="158">
        <f t="shared" si="29"/>
        <v>0</v>
      </c>
      <c r="EH36" s="158">
        <f t="shared" si="29"/>
        <v>0</v>
      </c>
      <c r="EI36" s="158">
        <f t="shared" si="29"/>
        <v>0</v>
      </c>
      <c r="EJ36" s="158">
        <f t="shared" si="29"/>
        <v>0</v>
      </c>
      <c r="EK36" s="158">
        <f t="shared" si="29"/>
        <v>0</v>
      </c>
      <c r="EL36" s="158">
        <f t="shared" si="29"/>
        <v>0</v>
      </c>
      <c r="EM36" s="158">
        <f t="shared" si="29"/>
        <v>0</v>
      </c>
      <c r="EN36" s="158">
        <f t="shared" si="29"/>
        <v>0</v>
      </c>
      <c r="EO36" s="158">
        <f t="shared" ref="EO36:GV36" si="30">IFERROR(1-(EO26/EO13),0)</f>
        <v>0</v>
      </c>
      <c r="EP36" s="158">
        <f t="shared" si="30"/>
        <v>0</v>
      </c>
      <c r="EQ36" s="158">
        <f t="shared" si="30"/>
        <v>0</v>
      </c>
      <c r="ER36" s="158">
        <f t="shared" si="30"/>
        <v>0</v>
      </c>
      <c r="ES36" s="158">
        <f t="shared" si="30"/>
        <v>0</v>
      </c>
      <c r="ET36" s="158">
        <f t="shared" si="30"/>
        <v>0</v>
      </c>
      <c r="EU36" s="158">
        <f t="shared" si="30"/>
        <v>0</v>
      </c>
      <c r="EV36" s="158">
        <f t="shared" si="30"/>
        <v>0</v>
      </c>
      <c r="EW36" s="158">
        <f t="shared" si="30"/>
        <v>0</v>
      </c>
      <c r="EX36" s="158">
        <f t="shared" si="30"/>
        <v>0</v>
      </c>
      <c r="EY36" s="158">
        <f t="shared" si="30"/>
        <v>0</v>
      </c>
      <c r="EZ36" s="158">
        <f t="shared" si="30"/>
        <v>0</v>
      </c>
      <c r="FA36" s="158">
        <f t="shared" si="30"/>
        <v>0</v>
      </c>
      <c r="FB36" s="158">
        <f t="shared" si="30"/>
        <v>0</v>
      </c>
      <c r="FC36" s="158">
        <f t="shared" si="30"/>
        <v>0</v>
      </c>
      <c r="FD36" s="158">
        <f t="shared" si="30"/>
        <v>0</v>
      </c>
      <c r="FE36" s="158">
        <f t="shared" si="30"/>
        <v>0</v>
      </c>
      <c r="FF36" s="158">
        <f t="shared" si="30"/>
        <v>0</v>
      </c>
      <c r="FG36" s="158">
        <f t="shared" si="30"/>
        <v>0</v>
      </c>
      <c r="FH36" s="158">
        <f t="shared" si="30"/>
        <v>0</v>
      </c>
      <c r="FI36" s="158">
        <f t="shared" si="30"/>
        <v>0</v>
      </c>
      <c r="FJ36" s="158">
        <f t="shared" si="30"/>
        <v>0</v>
      </c>
      <c r="FK36" s="158">
        <f t="shared" si="30"/>
        <v>0</v>
      </c>
      <c r="FL36" s="158">
        <f t="shared" si="30"/>
        <v>0</v>
      </c>
      <c r="FM36" s="158">
        <f t="shared" si="30"/>
        <v>0</v>
      </c>
      <c r="FN36" s="158">
        <f t="shared" si="30"/>
        <v>0</v>
      </c>
      <c r="FO36" s="158">
        <f t="shared" si="30"/>
        <v>0</v>
      </c>
      <c r="FP36" s="158">
        <f t="shared" si="30"/>
        <v>0</v>
      </c>
      <c r="FQ36" s="158">
        <f t="shared" si="30"/>
        <v>0</v>
      </c>
      <c r="FR36" s="158">
        <f t="shared" si="30"/>
        <v>0</v>
      </c>
      <c r="FS36" s="158">
        <f t="shared" si="30"/>
        <v>0</v>
      </c>
      <c r="FT36" s="158">
        <f t="shared" si="30"/>
        <v>0</v>
      </c>
      <c r="FU36" s="158">
        <f t="shared" si="30"/>
        <v>0</v>
      </c>
      <c r="FV36" s="158">
        <f t="shared" si="30"/>
        <v>0</v>
      </c>
      <c r="FW36" s="158">
        <f t="shared" si="30"/>
        <v>0</v>
      </c>
      <c r="FX36" s="158">
        <f t="shared" si="30"/>
        <v>0</v>
      </c>
      <c r="FY36" s="158">
        <f t="shared" si="30"/>
        <v>0</v>
      </c>
      <c r="FZ36" s="158">
        <f t="shared" si="30"/>
        <v>0</v>
      </c>
      <c r="GA36" s="158">
        <f t="shared" si="30"/>
        <v>0</v>
      </c>
      <c r="GB36" s="158">
        <f t="shared" si="30"/>
        <v>0</v>
      </c>
      <c r="GC36" s="158">
        <f t="shared" si="30"/>
        <v>0</v>
      </c>
      <c r="GD36" s="158">
        <f t="shared" si="30"/>
        <v>0</v>
      </c>
      <c r="GE36" s="158">
        <f t="shared" si="30"/>
        <v>0</v>
      </c>
      <c r="GF36" s="158">
        <f t="shared" si="30"/>
        <v>0</v>
      </c>
      <c r="GG36" s="158">
        <f t="shared" si="30"/>
        <v>0</v>
      </c>
      <c r="GH36" s="158">
        <f t="shared" si="30"/>
        <v>0</v>
      </c>
      <c r="GI36" s="158">
        <f t="shared" si="30"/>
        <v>0</v>
      </c>
      <c r="GJ36" s="158">
        <f t="shared" si="30"/>
        <v>0</v>
      </c>
      <c r="GK36" s="158">
        <f t="shared" si="30"/>
        <v>0</v>
      </c>
      <c r="GL36" s="158">
        <f t="shared" si="30"/>
        <v>0</v>
      </c>
      <c r="GM36" s="158">
        <f t="shared" si="30"/>
        <v>0</v>
      </c>
      <c r="GN36" s="158">
        <f t="shared" si="30"/>
        <v>0</v>
      </c>
      <c r="GO36" s="158">
        <f t="shared" si="30"/>
        <v>0</v>
      </c>
      <c r="GP36" s="158">
        <f t="shared" si="30"/>
        <v>0</v>
      </c>
      <c r="GQ36" s="158">
        <f t="shared" si="30"/>
        <v>0</v>
      </c>
      <c r="GR36" s="158">
        <f t="shared" si="30"/>
        <v>0</v>
      </c>
      <c r="GS36" s="158">
        <f t="shared" si="30"/>
        <v>0</v>
      </c>
      <c r="GT36" s="158">
        <f t="shared" si="30"/>
        <v>0</v>
      </c>
      <c r="GU36" s="158">
        <f t="shared" si="30"/>
        <v>0</v>
      </c>
      <c r="GV36" s="158">
        <f t="shared" si="30"/>
        <v>0</v>
      </c>
    </row>
    <row r="37" spans="1:204" s="157" customFormat="1" ht="13.5">
      <c r="A37" s="119" t="str">
        <f t="shared" ref="A37:C37" si="31">A14</f>
        <v>A4132</v>
      </c>
      <c r="B37" s="119" t="str">
        <f t="shared" si="31"/>
        <v>DIAN</v>
      </c>
      <c r="C37" s="119" t="str">
        <f t="shared" si="31"/>
        <v>Portal</v>
      </c>
      <c r="D37" s="156" t="s">
        <v>224</v>
      </c>
      <c r="E37" s="176">
        <f>IFERROR(1-(E27/E14),0)</f>
        <v>7.0257142857142907E-2</v>
      </c>
      <c r="F37" s="158">
        <f>IFERROR(1-(F27/F14),0)</f>
        <v>0</v>
      </c>
      <c r="G37" s="158">
        <f t="shared" ref="G37:H37" si="32">IFERROR(1-(G27/G14),0)</f>
        <v>0</v>
      </c>
      <c r="H37" s="158">
        <f t="shared" si="32"/>
        <v>0</v>
      </c>
      <c r="I37" s="158">
        <f t="shared" ref="I37:Q37" si="33">IFERROR(1-(I27/I14),0)</f>
        <v>7.2576554642551749E-2</v>
      </c>
      <c r="J37" s="158">
        <f t="shared" si="33"/>
        <v>7.2576554642551749E-2</v>
      </c>
      <c r="K37" s="158">
        <f t="shared" si="33"/>
        <v>7.2576554642551749E-2</v>
      </c>
      <c r="L37" s="158">
        <f t="shared" si="33"/>
        <v>7.2576554642551749E-2</v>
      </c>
      <c r="M37" s="158">
        <f t="shared" si="33"/>
        <v>7.2576554642551749E-2</v>
      </c>
      <c r="N37" s="158">
        <f t="shared" si="33"/>
        <v>7.2576554642551749E-2</v>
      </c>
      <c r="O37" s="158">
        <f t="shared" si="33"/>
        <v>7.2576554642551749E-2</v>
      </c>
      <c r="P37" s="158">
        <f t="shared" si="33"/>
        <v>7.2576554642551749E-2</v>
      </c>
      <c r="Q37" s="158">
        <f t="shared" si="33"/>
        <v>7.2576554642551749E-2</v>
      </c>
      <c r="R37" s="158">
        <f t="shared" ref="R37:CC37" si="34">IFERROR(1-(R27/R14),0)</f>
        <v>7.2576554642551749E-2</v>
      </c>
      <c r="S37" s="158">
        <f t="shared" si="34"/>
        <v>7.2576554642551749E-2</v>
      </c>
      <c r="T37" s="158">
        <f t="shared" si="34"/>
        <v>0</v>
      </c>
      <c r="U37" s="158">
        <f t="shared" si="34"/>
        <v>0</v>
      </c>
      <c r="V37" s="158">
        <f t="shared" si="34"/>
        <v>0</v>
      </c>
      <c r="W37" s="158">
        <f t="shared" si="34"/>
        <v>0</v>
      </c>
      <c r="X37" s="158">
        <f t="shared" si="34"/>
        <v>0</v>
      </c>
      <c r="Y37" s="158">
        <f t="shared" si="34"/>
        <v>0</v>
      </c>
      <c r="Z37" s="158">
        <f t="shared" si="34"/>
        <v>0</v>
      </c>
      <c r="AA37" s="158">
        <f t="shared" si="34"/>
        <v>0</v>
      </c>
      <c r="AB37" s="158">
        <f t="shared" si="34"/>
        <v>0</v>
      </c>
      <c r="AC37" s="158">
        <f t="shared" si="34"/>
        <v>0</v>
      </c>
      <c r="AD37" s="158">
        <f t="shared" si="34"/>
        <v>0</v>
      </c>
      <c r="AE37" s="158">
        <f t="shared" si="34"/>
        <v>0</v>
      </c>
      <c r="AF37" s="158">
        <f t="shared" si="34"/>
        <v>0</v>
      </c>
      <c r="AG37" s="158">
        <f t="shared" si="34"/>
        <v>0</v>
      </c>
      <c r="AH37" s="158">
        <f t="shared" si="34"/>
        <v>0</v>
      </c>
      <c r="AI37" s="158">
        <f t="shared" si="34"/>
        <v>0</v>
      </c>
      <c r="AJ37" s="158">
        <f t="shared" si="34"/>
        <v>0</v>
      </c>
      <c r="AK37" s="158">
        <f t="shared" si="34"/>
        <v>0</v>
      </c>
      <c r="AL37" s="158">
        <f t="shared" si="34"/>
        <v>0</v>
      </c>
      <c r="AM37" s="158">
        <f t="shared" si="34"/>
        <v>0</v>
      </c>
      <c r="AN37" s="158">
        <f t="shared" si="34"/>
        <v>0</v>
      </c>
      <c r="AO37" s="158">
        <f t="shared" si="34"/>
        <v>0</v>
      </c>
      <c r="AP37" s="158">
        <f t="shared" si="34"/>
        <v>0</v>
      </c>
      <c r="AQ37" s="158">
        <f t="shared" si="34"/>
        <v>0</v>
      </c>
      <c r="AR37" s="158">
        <f t="shared" si="34"/>
        <v>0</v>
      </c>
      <c r="AS37" s="158">
        <f t="shared" si="34"/>
        <v>0</v>
      </c>
      <c r="AT37" s="158">
        <f t="shared" si="34"/>
        <v>0</v>
      </c>
      <c r="AU37" s="158">
        <f t="shared" si="34"/>
        <v>0</v>
      </c>
      <c r="AV37" s="158">
        <f t="shared" si="34"/>
        <v>0</v>
      </c>
      <c r="AW37" s="158">
        <f t="shared" si="34"/>
        <v>0</v>
      </c>
      <c r="AX37" s="158">
        <f t="shared" si="34"/>
        <v>0</v>
      </c>
      <c r="AY37" s="158">
        <f t="shared" si="34"/>
        <v>0</v>
      </c>
      <c r="AZ37" s="158">
        <f t="shared" si="34"/>
        <v>0</v>
      </c>
      <c r="BA37" s="158">
        <f t="shared" si="34"/>
        <v>0</v>
      </c>
      <c r="BB37" s="158">
        <f t="shared" si="34"/>
        <v>0</v>
      </c>
      <c r="BC37" s="158">
        <f t="shared" si="34"/>
        <v>0</v>
      </c>
      <c r="BD37" s="158">
        <f t="shared" si="34"/>
        <v>0</v>
      </c>
      <c r="BE37" s="158">
        <f t="shared" si="34"/>
        <v>0</v>
      </c>
      <c r="BF37" s="158">
        <f t="shared" si="34"/>
        <v>0</v>
      </c>
      <c r="BG37" s="158">
        <f t="shared" si="34"/>
        <v>0</v>
      </c>
      <c r="BH37" s="158">
        <f t="shared" si="34"/>
        <v>0</v>
      </c>
      <c r="BI37" s="158">
        <f t="shared" si="34"/>
        <v>0</v>
      </c>
      <c r="BJ37" s="158">
        <f t="shared" si="34"/>
        <v>0</v>
      </c>
      <c r="BK37" s="158">
        <f t="shared" si="34"/>
        <v>0</v>
      </c>
      <c r="BL37" s="158">
        <f t="shared" si="34"/>
        <v>0</v>
      </c>
      <c r="BM37" s="158">
        <f t="shared" si="34"/>
        <v>0</v>
      </c>
      <c r="BN37" s="158">
        <f t="shared" si="34"/>
        <v>0</v>
      </c>
      <c r="BO37" s="158">
        <f t="shared" si="34"/>
        <v>0</v>
      </c>
      <c r="BP37" s="158">
        <f t="shared" si="34"/>
        <v>0</v>
      </c>
      <c r="BQ37" s="158">
        <f t="shared" si="34"/>
        <v>0</v>
      </c>
      <c r="BR37" s="158">
        <f t="shared" si="34"/>
        <v>0</v>
      </c>
      <c r="BS37" s="158">
        <f t="shared" si="34"/>
        <v>0</v>
      </c>
      <c r="BT37" s="158">
        <f t="shared" si="34"/>
        <v>0</v>
      </c>
      <c r="BU37" s="158">
        <f t="shared" si="34"/>
        <v>0</v>
      </c>
      <c r="BV37" s="158">
        <f t="shared" si="34"/>
        <v>0</v>
      </c>
      <c r="BW37" s="158">
        <f t="shared" si="34"/>
        <v>0</v>
      </c>
      <c r="BX37" s="158">
        <f t="shared" si="34"/>
        <v>0</v>
      </c>
      <c r="BY37" s="158">
        <f t="shared" si="34"/>
        <v>0</v>
      </c>
      <c r="BZ37" s="158">
        <f t="shared" si="34"/>
        <v>0</v>
      </c>
      <c r="CA37" s="158">
        <f t="shared" si="34"/>
        <v>0</v>
      </c>
      <c r="CB37" s="158">
        <f t="shared" si="34"/>
        <v>0</v>
      </c>
      <c r="CC37" s="158">
        <f t="shared" si="34"/>
        <v>0</v>
      </c>
      <c r="CD37" s="158">
        <f t="shared" ref="CD37:EO37" si="35">IFERROR(1-(CD27/CD14),0)</f>
        <v>0</v>
      </c>
      <c r="CE37" s="158">
        <f t="shared" si="35"/>
        <v>0</v>
      </c>
      <c r="CF37" s="158">
        <f t="shared" si="35"/>
        <v>0</v>
      </c>
      <c r="CG37" s="158">
        <f t="shared" si="35"/>
        <v>0</v>
      </c>
      <c r="CH37" s="158">
        <f t="shared" si="35"/>
        <v>0</v>
      </c>
      <c r="CI37" s="158">
        <f t="shared" si="35"/>
        <v>0</v>
      </c>
      <c r="CJ37" s="158">
        <f t="shared" si="35"/>
        <v>0</v>
      </c>
      <c r="CK37" s="158">
        <f t="shared" si="35"/>
        <v>0</v>
      </c>
      <c r="CL37" s="158">
        <f t="shared" si="35"/>
        <v>0</v>
      </c>
      <c r="CM37" s="158">
        <f t="shared" si="35"/>
        <v>0</v>
      </c>
      <c r="CN37" s="158">
        <f t="shared" si="35"/>
        <v>0</v>
      </c>
      <c r="CO37" s="158">
        <f t="shared" si="35"/>
        <v>0</v>
      </c>
      <c r="CP37" s="158">
        <f t="shared" si="35"/>
        <v>0</v>
      </c>
      <c r="CQ37" s="158">
        <f t="shared" si="35"/>
        <v>0</v>
      </c>
      <c r="CR37" s="158">
        <f t="shared" si="35"/>
        <v>0</v>
      </c>
      <c r="CS37" s="158">
        <f t="shared" si="35"/>
        <v>0</v>
      </c>
      <c r="CT37" s="158">
        <f t="shared" si="35"/>
        <v>0</v>
      </c>
      <c r="CU37" s="158">
        <f t="shared" si="35"/>
        <v>0</v>
      </c>
      <c r="CV37" s="158">
        <f t="shared" si="35"/>
        <v>0</v>
      </c>
      <c r="CW37" s="158">
        <f t="shared" si="35"/>
        <v>0</v>
      </c>
      <c r="CX37" s="158">
        <f t="shared" si="35"/>
        <v>0</v>
      </c>
      <c r="CY37" s="158">
        <f t="shared" si="35"/>
        <v>0</v>
      </c>
      <c r="CZ37" s="158">
        <f t="shared" si="35"/>
        <v>0</v>
      </c>
      <c r="DA37" s="158">
        <f t="shared" si="35"/>
        <v>0</v>
      </c>
      <c r="DB37" s="158">
        <f t="shared" si="35"/>
        <v>0</v>
      </c>
      <c r="DC37" s="158">
        <f t="shared" si="35"/>
        <v>0</v>
      </c>
      <c r="DD37" s="158">
        <f t="shared" si="35"/>
        <v>0</v>
      </c>
      <c r="DE37" s="158">
        <f t="shared" si="35"/>
        <v>0</v>
      </c>
      <c r="DF37" s="158">
        <f t="shared" si="35"/>
        <v>0</v>
      </c>
      <c r="DG37" s="158">
        <f t="shared" si="35"/>
        <v>0</v>
      </c>
      <c r="DH37" s="158">
        <f t="shared" si="35"/>
        <v>0</v>
      </c>
      <c r="DI37" s="158">
        <f t="shared" si="35"/>
        <v>0</v>
      </c>
      <c r="DJ37" s="158">
        <f t="shared" si="35"/>
        <v>0</v>
      </c>
      <c r="DK37" s="158">
        <f t="shared" si="35"/>
        <v>0</v>
      </c>
      <c r="DL37" s="158">
        <f t="shared" si="35"/>
        <v>0</v>
      </c>
      <c r="DM37" s="158">
        <f t="shared" si="35"/>
        <v>0</v>
      </c>
      <c r="DN37" s="158">
        <f t="shared" si="35"/>
        <v>0</v>
      </c>
      <c r="DO37" s="158">
        <f t="shared" si="35"/>
        <v>0</v>
      </c>
      <c r="DP37" s="158">
        <f t="shared" si="35"/>
        <v>0</v>
      </c>
      <c r="DQ37" s="158">
        <f t="shared" si="35"/>
        <v>0</v>
      </c>
      <c r="DR37" s="158">
        <f t="shared" si="35"/>
        <v>0</v>
      </c>
      <c r="DS37" s="158">
        <f t="shared" si="35"/>
        <v>0</v>
      </c>
      <c r="DT37" s="158">
        <f t="shared" si="35"/>
        <v>0</v>
      </c>
      <c r="DU37" s="158">
        <f t="shared" si="35"/>
        <v>0</v>
      </c>
      <c r="DV37" s="158">
        <f t="shared" si="35"/>
        <v>0</v>
      </c>
      <c r="DW37" s="158">
        <f t="shared" si="35"/>
        <v>0</v>
      </c>
      <c r="DX37" s="158">
        <f t="shared" si="35"/>
        <v>0</v>
      </c>
      <c r="DY37" s="158">
        <f t="shared" si="35"/>
        <v>0</v>
      </c>
      <c r="DZ37" s="158">
        <f t="shared" si="35"/>
        <v>0</v>
      </c>
      <c r="EA37" s="158">
        <f t="shared" si="35"/>
        <v>0</v>
      </c>
      <c r="EB37" s="158">
        <f t="shared" si="35"/>
        <v>0</v>
      </c>
      <c r="EC37" s="158">
        <f t="shared" si="35"/>
        <v>0</v>
      </c>
      <c r="ED37" s="158">
        <f t="shared" si="35"/>
        <v>0</v>
      </c>
      <c r="EE37" s="158">
        <f t="shared" si="35"/>
        <v>0</v>
      </c>
      <c r="EF37" s="158">
        <f t="shared" si="35"/>
        <v>0</v>
      </c>
      <c r="EG37" s="158">
        <f t="shared" si="35"/>
        <v>0</v>
      </c>
      <c r="EH37" s="158">
        <f t="shared" si="35"/>
        <v>0</v>
      </c>
      <c r="EI37" s="158">
        <f t="shared" si="35"/>
        <v>0</v>
      </c>
      <c r="EJ37" s="158">
        <f t="shared" si="35"/>
        <v>0</v>
      </c>
      <c r="EK37" s="158">
        <f t="shared" si="35"/>
        <v>0</v>
      </c>
      <c r="EL37" s="158">
        <f t="shared" si="35"/>
        <v>0</v>
      </c>
      <c r="EM37" s="158">
        <f t="shared" si="35"/>
        <v>0</v>
      </c>
      <c r="EN37" s="158">
        <f t="shared" si="35"/>
        <v>0</v>
      </c>
      <c r="EO37" s="158">
        <f t="shared" si="35"/>
        <v>0</v>
      </c>
      <c r="EP37" s="158">
        <f t="shared" ref="EP37:GV37" si="36">IFERROR(1-(EP27/EP14),0)</f>
        <v>0</v>
      </c>
      <c r="EQ37" s="158">
        <f t="shared" si="36"/>
        <v>0</v>
      </c>
      <c r="ER37" s="158">
        <f t="shared" si="36"/>
        <v>0</v>
      </c>
      <c r="ES37" s="158">
        <f t="shared" si="36"/>
        <v>0</v>
      </c>
      <c r="ET37" s="158">
        <f t="shared" si="36"/>
        <v>0</v>
      </c>
      <c r="EU37" s="158">
        <f t="shared" si="36"/>
        <v>0</v>
      </c>
      <c r="EV37" s="158">
        <f t="shared" si="36"/>
        <v>0</v>
      </c>
      <c r="EW37" s="158">
        <f t="shared" si="36"/>
        <v>0</v>
      </c>
      <c r="EX37" s="158">
        <f t="shared" si="36"/>
        <v>0</v>
      </c>
      <c r="EY37" s="158">
        <f t="shared" si="36"/>
        <v>0</v>
      </c>
      <c r="EZ37" s="158">
        <f t="shared" si="36"/>
        <v>0</v>
      </c>
      <c r="FA37" s="158">
        <f t="shared" si="36"/>
        <v>0</v>
      </c>
      <c r="FB37" s="158">
        <f t="shared" si="36"/>
        <v>0</v>
      </c>
      <c r="FC37" s="158">
        <f t="shared" si="36"/>
        <v>0</v>
      </c>
      <c r="FD37" s="158">
        <f t="shared" si="36"/>
        <v>0</v>
      </c>
      <c r="FE37" s="158">
        <f t="shared" si="36"/>
        <v>0</v>
      </c>
      <c r="FF37" s="158">
        <f t="shared" si="36"/>
        <v>0</v>
      </c>
      <c r="FG37" s="158">
        <f t="shared" si="36"/>
        <v>0</v>
      </c>
      <c r="FH37" s="158">
        <f t="shared" si="36"/>
        <v>0</v>
      </c>
      <c r="FI37" s="158">
        <f t="shared" si="36"/>
        <v>0</v>
      </c>
      <c r="FJ37" s="158">
        <f t="shared" si="36"/>
        <v>0</v>
      </c>
      <c r="FK37" s="158">
        <f t="shared" si="36"/>
        <v>0</v>
      </c>
      <c r="FL37" s="158">
        <f t="shared" si="36"/>
        <v>0</v>
      </c>
      <c r="FM37" s="158">
        <f t="shared" si="36"/>
        <v>0</v>
      </c>
      <c r="FN37" s="158">
        <f t="shared" si="36"/>
        <v>0</v>
      </c>
      <c r="FO37" s="158">
        <f t="shared" si="36"/>
        <v>0</v>
      </c>
      <c r="FP37" s="158">
        <f t="shared" si="36"/>
        <v>0</v>
      </c>
      <c r="FQ37" s="158">
        <f t="shared" si="36"/>
        <v>0</v>
      </c>
      <c r="FR37" s="158">
        <f t="shared" si="36"/>
        <v>0</v>
      </c>
      <c r="FS37" s="158">
        <f t="shared" si="36"/>
        <v>0</v>
      </c>
      <c r="FT37" s="158">
        <f t="shared" si="36"/>
        <v>0</v>
      </c>
      <c r="FU37" s="158">
        <f t="shared" si="36"/>
        <v>0</v>
      </c>
      <c r="FV37" s="158">
        <f t="shared" si="36"/>
        <v>0</v>
      </c>
      <c r="FW37" s="158">
        <f t="shared" si="36"/>
        <v>0</v>
      </c>
      <c r="FX37" s="158">
        <f t="shared" si="36"/>
        <v>0</v>
      </c>
      <c r="FY37" s="158">
        <f t="shared" si="36"/>
        <v>0</v>
      </c>
      <c r="FZ37" s="158">
        <f t="shared" si="36"/>
        <v>0</v>
      </c>
      <c r="GA37" s="158">
        <f t="shared" si="36"/>
        <v>0</v>
      </c>
      <c r="GB37" s="158">
        <f t="shared" si="36"/>
        <v>0</v>
      </c>
      <c r="GC37" s="158">
        <f t="shared" si="36"/>
        <v>0</v>
      </c>
      <c r="GD37" s="158">
        <f t="shared" si="36"/>
        <v>0</v>
      </c>
      <c r="GE37" s="158">
        <f t="shared" si="36"/>
        <v>0</v>
      </c>
      <c r="GF37" s="158">
        <f t="shared" si="36"/>
        <v>0</v>
      </c>
      <c r="GG37" s="158">
        <f t="shared" si="36"/>
        <v>0</v>
      </c>
      <c r="GH37" s="158">
        <f t="shared" si="36"/>
        <v>0</v>
      </c>
      <c r="GI37" s="158">
        <f t="shared" si="36"/>
        <v>0</v>
      </c>
      <c r="GJ37" s="158">
        <f t="shared" si="36"/>
        <v>0</v>
      </c>
      <c r="GK37" s="158">
        <f t="shared" si="36"/>
        <v>0</v>
      </c>
      <c r="GL37" s="158">
        <f t="shared" si="36"/>
        <v>0</v>
      </c>
      <c r="GM37" s="158">
        <f t="shared" si="36"/>
        <v>0</v>
      </c>
      <c r="GN37" s="158">
        <f t="shared" si="36"/>
        <v>0</v>
      </c>
      <c r="GO37" s="158">
        <f t="shared" si="36"/>
        <v>0</v>
      </c>
      <c r="GP37" s="158">
        <f t="shared" si="36"/>
        <v>0</v>
      </c>
      <c r="GQ37" s="158">
        <f t="shared" si="36"/>
        <v>0</v>
      </c>
      <c r="GR37" s="158">
        <f t="shared" si="36"/>
        <v>0</v>
      </c>
      <c r="GS37" s="158">
        <f t="shared" si="36"/>
        <v>0</v>
      </c>
      <c r="GT37" s="158">
        <f t="shared" si="36"/>
        <v>0</v>
      </c>
      <c r="GU37" s="158">
        <f t="shared" si="36"/>
        <v>0</v>
      </c>
      <c r="GV37" s="158">
        <f t="shared" si="36"/>
        <v>0</v>
      </c>
    </row>
    <row r="38" spans="1:204" s="157" customFormat="1" ht="13.5">
      <c r="A38" s="119" t="str">
        <f t="shared" ref="A38:C39" si="37">A15</f>
        <v>A4132</v>
      </c>
      <c r="B38" s="119" t="str">
        <f t="shared" si="37"/>
        <v>DIAN</v>
      </c>
      <c r="C38" s="119" t="str">
        <f t="shared" si="37"/>
        <v>Portal</v>
      </c>
      <c r="D38" s="156" t="s">
        <v>225</v>
      </c>
      <c r="E38" s="176">
        <f>IFERROR(1-(E28/E15),0)</f>
        <v>0</v>
      </c>
      <c r="F38" s="158">
        <f>IFERROR(1-(F28/F15),0)</f>
        <v>0</v>
      </c>
      <c r="G38" s="158">
        <f t="shared" ref="G38:H39" si="38">IFERROR(1-(G28/G15),0)</f>
        <v>0</v>
      </c>
      <c r="H38" s="158">
        <f t="shared" si="38"/>
        <v>0.9</v>
      </c>
      <c r="I38" s="158">
        <f t="shared" ref="I38:Q39" si="39">IFERROR(1-(I28/I15),0)</f>
        <v>0.9</v>
      </c>
      <c r="J38" s="158">
        <f t="shared" si="39"/>
        <v>0.9</v>
      </c>
      <c r="K38" s="158">
        <f t="shared" si="39"/>
        <v>0.9</v>
      </c>
      <c r="L38" s="158">
        <f t="shared" si="39"/>
        <v>0.9</v>
      </c>
      <c r="M38" s="158">
        <f t="shared" si="39"/>
        <v>0.9</v>
      </c>
      <c r="N38" s="158">
        <f t="shared" si="39"/>
        <v>0.9</v>
      </c>
      <c r="O38" s="158">
        <f t="shared" si="39"/>
        <v>0.9</v>
      </c>
      <c r="P38" s="158">
        <f t="shared" si="39"/>
        <v>0.9</v>
      </c>
      <c r="Q38" s="158">
        <f t="shared" si="39"/>
        <v>0.9</v>
      </c>
      <c r="R38" s="158">
        <f t="shared" ref="R38:CC39" si="40">IFERROR(1-(R28/R15),0)</f>
        <v>0.9</v>
      </c>
      <c r="S38" s="158">
        <f t="shared" si="40"/>
        <v>0.9</v>
      </c>
      <c r="T38" s="158">
        <f t="shared" si="40"/>
        <v>0</v>
      </c>
      <c r="U38" s="158">
        <f t="shared" si="40"/>
        <v>0</v>
      </c>
      <c r="V38" s="158">
        <f t="shared" si="40"/>
        <v>0</v>
      </c>
      <c r="W38" s="158">
        <f t="shared" si="40"/>
        <v>0</v>
      </c>
      <c r="X38" s="158">
        <f t="shared" si="40"/>
        <v>0</v>
      </c>
      <c r="Y38" s="158">
        <f t="shared" si="40"/>
        <v>0</v>
      </c>
      <c r="Z38" s="158">
        <f t="shared" si="40"/>
        <v>0</v>
      </c>
      <c r="AA38" s="158">
        <f t="shared" si="40"/>
        <v>0</v>
      </c>
      <c r="AB38" s="158">
        <f t="shared" si="40"/>
        <v>0</v>
      </c>
      <c r="AC38" s="158">
        <f t="shared" si="40"/>
        <v>0</v>
      </c>
      <c r="AD38" s="158">
        <f t="shared" si="40"/>
        <v>0</v>
      </c>
      <c r="AE38" s="158">
        <f t="shared" si="40"/>
        <v>0</v>
      </c>
      <c r="AF38" s="158">
        <f t="shared" si="40"/>
        <v>0</v>
      </c>
      <c r="AG38" s="158">
        <f t="shared" si="40"/>
        <v>0</v>
      </c>
      <c r="AH38" s="158">
        <f t="shared" si="40"/>
        <v>0</v>
      </c>
      <c r="AI38" s="158">
        <f t="shared" si="40"/>
        <v>0</v>
      </c>
      <c r="AJ38" s="158">
        <f t="shared" si="40"/>
        <v>0</v>
      </c>
      <c r="AK38" s="158">
        <f t="shared" si="40"/>
        <v>0</v>
      </c>
      <c r="AL38" s="158">
        <f t="shared" si="40"/>
        <v>0</v>
      </c>
      <c r="AM38" s="158">
        <f t="shared" si="40"/>
        <v>0</v>
      </c>
      <c r="AN38" s="158">
        <f t="shared" si="40"/>
        <v>0</v>
      </c>
      <c r="AO38" s="158">
        <f t="shared" si="40"/>
        <v>0</v>
      </c>
      <c r="AP38" s="158">
        <f t="shared" si="40"/>
        <v>0</v>
      </c>
      <c r="AQ38" s="158">
        <f t="shared" si="40"/>
        <v>0</v>
      </c>
      <c r="AR38" s="158">
        <f t="shared" si="40"/>
        <v>0</v>
      </c>
      <c r="AS38" s="158">
        <f t="shared" si="40"/>
        <v>0</v>
      </c>
      <c r="AT38" s="158">
        <f t="shared" si="40"/>
        <v>0</v>
      </c>
      <c r="AU38" s="158">
        <f t="shared" si="40"/>
        <v>0</v>
      </c>
      <c r="AV38" s="158">
        <f t="shared" si="40"/>
        <v>0</v>
      </c>
      <c r="AW38" s="158">
        <f t="shared" si="40"/>
        <v>0</v>
      </c>
      <c r="AX38" s="158">
        <f t="shared" si="40"/>
        <v>0</v>
      </c>
      <c r="AY38" s="158">
        <f t="shared" si="40"/>
        <v>0</v>
      </c>
      <c r="AZ38" s="158">
        <f t="shared" si="40"/>
        <v>0</v>
      </c>
      <c r="BA38" s="158">
        <f t="shared" si="40"/>
        <v>0</v>
      </c>
      <c r="BB38" s="158">
        <f t="shared" si="40"/>
        <v>0</v>
      </c>
      <c r="BC38" s="158">
        <f t="shared" si="40"/>
        <v>0</v>
      </c>
      <c r="BD38" s="158">
        <f t="shared" si="40"/>
        <v>0</v>
      </c>
      <c r="BE38" s="158">
        <f t="shared" si="40"/>
        <v>0</v>
      </c>
      <c r="BF38" s="158">
        <f t="shared" si="40"/>
        <v>0</v>
      </c>
      <c r="BG38" s="158">
        <f t="shared" si="40"/>
        <v>0</v>
      </c>
      <c r="BH38" s="158">
        <f t="shared" si="40"/>
        <v>0</v>
      </c>
      <c r="BI38" s="158">
        <f t="shared" si="40"/>
        <v>0</v>
      </c>
      <c r="BJ38" s="158">
        <f t="shared" si="40"/>
        <v>0</v>
      </c>
      <c r="BK38" s="158">
        <f t="shared" si="40"/>
        <v>0</v>
      </c>
      <c r="BL38" s="158">
        <f t="shared" si="40"/>
        <v>0</v>
      </c>
      <c r="BM38" s="158">
        <f t="shared" si="40"/>
        <v>0</v>
      </c>
      <c r="BN38" s="158">
        <f t="shared" si="40"/>
        <v>0</v>
      </c>
      <c r="BO38" s="158">
        <f t="shared" si="40"/>
        <v>0</v>
      </c>
      <c r="BP38" s="158">
        <f t="shared" si="40"/>
        <v>0</v>
      </c>
      <c r="BQ38" s="158">
        <f t="shared" si="40"/>
        <v>0</v>
      </c>
      <c r="BR38" s="158">
        <f t="shared" si="40"/>
        <v>0</v>
      </c>
      <c r="BS38" s="158">
        <f t="shared" si="40"/>
        <v>0</v>
      </c>
      <c r="BT38" s="158">
        <f t="shared" si="40"/>
        <v>0</v>
      </c>
      <c r="BU38" s="158">
        <f t="shared" si="40"/>
        <v>0</v>
      </c>
      <c r="BV38" s="158">
        <f t="shared" si="40"/>
        <v>0</v>
      </c>
      <c r="BW38" s="158">
        <f t="shared" si="40"/>
        <v>0</v>
      </c>
      <c r="BX38" s="158">
        <f t="shared" si="40"/>
        <v>0</v>
      </c>
      <c r="BY38" s="158">
        <f t="shared" si="40"/>
        <v>0</v>
      </c>
      <c r="BZ38" s="158">
        <f t="shared" si="40"/>
        <v>0</v>
      </c>
      <c r="CA38" s="158">
        <f t="shared" si="40"/>
        <v>0</v>
      </c>
      <c r="CB38" s="158">
        <f t="shared" si="40"/>
        <v>0</v>
      </c>
      <c r="CC38" s="158">
        <f t="shared" si="40"/>
        <v>0</v>
      </c>
      <c r="CD38" s="158">
        <f t="shared" ref="CD38:EO39" si="41">IFERROR(1-(CD28/CD15),0)</f>
        <v>0</v>
      </c>
      <c r="CE38" s="158">
        <f t="shared" si="41"/>
        <v>0</v>
      </c>
      <c r="CF38" s="158">
        <f t="shared" si="41"/>
        <v>0</v>
      </c>
      <c r="CG38" s="158">
        <f t="shared" si="41"/>
        <v>0</v>
      </c>
      <c r="CH38" s="158">
        <f t="shared" si="41"/>
        <v>0</v>
      </c>
      <c r="CI38" s="158">
        <f t="shared" si="41"/>
        <v>0</v>
      </c>
      <c r="CJ38" s="158">
        <f t="shared" si="41"/>
        <v>0</v>
      </c>
      <c r="CK38" s="158">
        <f t="shared" si="41"/>
        <v>0</v>
      </c>
      <c r="CL38" s="158">
        <f t="shared" si="41"/>
        <v>0</v>
      </c>
      <c r="CM38" s="158">
        <f t="shared" si="41"/>
        <v>0</v>
      </c>
      <c r="CN38" s="158">
        <f t="shared" si="41"/>
        <v>0</v>
      </c>
      <c r="CO38" s="158">
        <f t="shared" si="41"/>
        <v>0</v>
      </c>
      <c r="CP38" s="158">
        <f t="shared" si="41"/>
        <v>0</v>
      </c>
      <c r="CQ38" s="158">
        <f t="shared" si="41"/>
        <v>0</v>
      </c>
      <c r="CR38" s="158">
        <f t="shared" si="41"/>
        <v>0</v>
      </c>
      <c r="CS38" s="158">
        <f t="shared" si="41"/>
        <v>0</v>
      </c>
      <c r="CT38" s="158">
        <f t="shared" si="41"/>
        <v>0</v>
      </c>
      <c r="CU38" s="158">
        <f t="shared" si="41"/>
        <v>0</v>
      </c>
      <c r="CV38" s="158">
        <f t="shared" si="41"/>
        <v>0</v>
      </c>
      <c r="CW38" s="158">
        <f t="shared" si="41"/>
        <v>0</v>
      </c>
      <c r="CX38" s="158">
        <f t="shared" si="41"/>
        <v>0</v>
      </c>
      <c r="CY38" s="158">
        <f t="shared" si="41"/>
        <v>0</v>
      </c>
      <c r="CZ38" s="158">
        <f t="shared" si="41"/>
        <v>0</v>
      </c>
      <c r="DA38" s="158">
        <f t="shared" si="41"/>
        <v>0</v>
      </c>
      <c r="DB38" s="158">
        <f t="shared" si="41"/>
        <v>0</v>
      </c>
      <c r="DC38" s="158">
        <f t="shared" si="41"/>
        <v>0</v>
      </c>
      <c r="DD38" s="158">
        <f t="shared" si="41"/>
        <v>0</v>
      </c>
      <c r="DE38" s="158">
        <f t="shared" si="41"/>
        <v>0</v>
      </c>
      <c r="DF38" s="158">
        <f t="shared" si="41"/>
        <v>0</v>
      </c>
      <c r="DG38" s="158">
        <f t="shared" si="41"/>
        <v>0</v>
      </c>
      <c r="DH38" s="158">
        <f t="shared" si="41"/>
        <v>0</v>
      </c>
      <c r="DI38" s="158">
        <f t="shared" si="41"/>
        <v>0</v>
      </c>
      <c r="DJ38" s="158">
        <f t="shared" si="41"/>
        <v>0</v>
      </c>
      <c r="DK38" s="158">
        <f t="shared" si="41"/>
        <v>0</v>
      </c>
      <c r="DL38" s="158">
        <f t="shared" si="41"/>
        <v>0</v>
      </c>
      <c r="DM38" s="158">
        <f t="shared" si="41"/>
        <v>0</v>
      </c>
      <c r="DN38" s="158">
        <f t="shared" si="41"/>
        <v>0</v>
      </c>
      <c r="DO38" s="158">
        <f t="shared" si="41"/>
        <v>0</v>
      </c>
      <c r="DP38" s="158">
        <f t="shared" si="41"/>
        <v>0</v>
      </c>
      <c r="DQ38" s="158">
        <f t="shared" si="41"/>
        <v>0</v>
      </c>
      <c r="DR38" s="158">
        <f t="shared" si="41"/>
        <v>0</v>
      </c>
      <c r="DS38" s="158">
        <f t="shared" si="41"/>
        <v>0</v>
      </c>
      <c r="DT38" s="158">
        <f t="shared" si="41"/>
        <v>0</v>
      </c>
      <c r="DU38" s="158">
        <f t="shared" si="41"/>
        <v>0</v>
      </c>
      <c r="DV38" s="158">
        <f t="shared" si="41"/>
        <v>0</v>
      </c>
      <c r="DW38" s="158">
        <f t="shared" si="41"/>
        <v>0</v>
      </c>
      <c r="DX38" s="158">
        <f t="shared" si="41"/>
        <v>0</v>
      </c>
      <c r="DY38" s="158">
        <f t="shared" si="41"/>
        <v>0</v>
      </c>
      <c r="DZ38" s="158">
        <f t="shared" si="41"/>
        <v>0</v>
      </c>
      <c r="EA38" s="158">
        <f t="shared" si="41"/>
        <v>0</v>
      </c>
      <c r="EB38" s="158">
        <f t="shared" si="41"/>
        <v>0</v>
      </c>
      <c r="EC38" s="158">
        <f t="shared" si="41"/>
        <v>0</v>
      </c>
      <c r="ED38" s="158">
        <f t="shared" si="41"/>
        <v>0</v>
      </c>
      <c r="EE38" s="158">
        <f t="shared" si="41"/>
        <v>0</v>
      </c>
      <c r="EF38" s="158">
        <f t="shared" si="41"/>
        <v>0</v>
      </c>
      <c r="EG38" s="158">
        <f t="shared" si="41"/>
        <v>0</v>
      </c>
      <c r="EH38" s="158">
        <f t="shared" si="41"/>
        <v>0</v>
      </c>
      <c r="EI38" s="158">
        <f t="shared" si="41"/>
        <v>0</v>
      </c>
      <c r="EJ38" s="158">
        <f t="shared" si="41"/>
        <v>0</v>
      </c>
      <c r="EK38" s="158">
        <f t="shared" si="41"/>
        <v>0</v>
      </c>
      <c r="EL38" s="158">
        <f t="shared" si="41"/>
        <v>0</v>
      </c>
      <c r="EM38" s="158">
        <f t="shared" si="41"/>
        <v>0</v>
      </c>
      <c r="EN38" s="158">
        <f t="shared" si="41"/>
        <v>0</v>
      </c>
      <c r="EO38" s="158">
        <f t="shared" si="41"/>
        <v>0</v>
      </c>
      <c r="EP38" s="158">
        <f t="shared" ref="EP38:GV39" si="42">IFERROR(1-(EP28/EP15),0)</f>
        <v>0</v>
      </c>
      <c r="EQ38" s="158">
        <f t="shared" si="42"/>
        <v>0</v>
      </c>
      <c r="ER38" s="158">
        <f t="shared" si="42"/>
        <v>0</v>
      </c>
      <c r="ES38" s="158">
        <f t="shared" si="42"/>
        <v>0</v>
      </c>
      <c r="ET38" s="158">
        <f t="shared" si="42"/>
        <v>0</v>
      </c>
      <c r="EU38" s="158">
        <f t="shared" si="42"/>
        <v>0</v>
      </c>
      <c r="EV38" s="158">
        <f t="shared" si="42"/>
        <v>0</v>
      </c>
      <c r="EW38" s="158">
        <f t="shared" si="42"/>
        <v>0</v>
      </c>
      <c r="EX38" s="158">
        <f t="shared" si="42"/>
        <v>0</v>
      </c>
      <c r="EY38" s="158">
        <f t="shared" si="42"/>
        <v>0</v>
      </c>
      <c r="EZ38" s="158">
        <f t="shared" si="42"/>
        <v>0</v>
      </c>
      <c r="FA38" s="158">
        <f t="shared" si="42"/>
        <v>0</v>
      </c>
      <c r="FB38" s="158">
        <f t="shared" si="42"/>
        <v>0</v>
      </c>
      <c r="FC38" s="158">
        <f t="shared" si="42"/>
        <v>0</v>
      </c>
      <c r="FD38" s="158">
        <f t="shared" si="42"/>
        <v>0</v>
      </c>
      <c r="FE38" s="158">
        <f t="shared" si="42"/>
        <v>0</v>
      </c>
      <c r="FF38" s="158">
        <f t="shared" si="42"/>
        <v>0</v>
      </c>
      <c r="FG38" s="158">
        <f t="shared" si="42"/>
        <v>0</v>
      </c>
      <c r="FH38" s="158">
        <f t="shared" si="42"/>
        <v>0</v>
      </c>
      <c r="FI38" s="158">
        <f t="shared" si="42"/>
        <v>0</v>
      </c>
      <c r="FJ38" s="158">
        <f t="shared" si="42"/>
        <v>0</v>
      </c>
      <c r="FK38" s="158">
        <f t="shared" si="42"/>
        <v>0</v>
      </c>
      <c r="FL38" s="158">
        <f t="shared" si="42"/>
        <v>0</v>
      </c>
      <c r="FM38" s="158">
        <f t="shared" si="42"/>
        <v>0</v>
      </c>
      <c r="FN38" s="158">
        <f t="shared" si="42"/>
        <v>0</v>
      </c>
      <c r="FO38" s="158">
        <f t="shared" si="42"/>
        <v>0</v>
      </c>
      <c r="FP38" s="158">
        <f t="shared" si="42"/>
        <v>0</v>
      </c>
      <c r="FQ38" s="158">
        <f t="shared" si="42"/>
        <v>0</v>
      </c>
      <c r="FR38" s="158">
        <f t="shared" si="42"/>
        <v>0</v>
      </c>
      <c r="FS38" s="158">
        <f t="shared" si="42"/>
        <v>0</v>
      </c>
      <c r="FT38" s="158">
        <f t="shared" si="42"/>
        <v>0</v>
      </c>
      <c r="FU38" s="158">
        <f t="shared" si="42"/>
        <v>0</v>
      </c>
      <c r="FV38" s="158">
        <f t="shared" si="42"/>
        <v>0</v>
      </c>
      <c r="FW38" s="158">
        <f t="shared" si="42"/>
        <v>0</v>
      </c>
      <c r="FX38" s="158">
        <f t="shared" si="42"/>
        <v>0</v>
      </c>
      <c r="FY38" s="158">
        <f t="shared" si="42"/>
        <v>0</v>
      </c>
      <c r="FZ38" s="158">
        <f t="shared" si="42"/>
        <v>0</v>
      </c>
      <c r="GA38" s="158">
        <f t="shared" si="42"/>
        <v>0</v>
      </c>
      <c r="GB38" s="158">
        <f t="shared" si="42"/>
        <v>0</v>
      </c>
      <c r="GC38" s="158">
        <f t="shared" si="42"/>
        <v>0</v>
      </c>
      <c r="GD38" s="158">
        <f t="shared" si="42"/>
        <v>0</v>
      </c>
      <c r="GE38" s="158">
        <f t="shared" si="42"/>
        <v>0</v>
      </c>
      <c r="GF38" s="158">
        <f t="shared" si="42"/>
        <v>0</v>
      </c>
      <c r="GG38" s="158">
        <f t="shared" si="42"/>
        <v>0</v>
      </c>
      <c r="GH38" s="158">
        <f t="shared" si="42"/>
        <v>0</v>
      </c>
      <c r="GI38" s="158">
        <f t="shared" si="42"/>
        <v>0</v>
      </c>
      <c r="GJ38" s="158">
        <f t="shared" si="42"/>
        <v>0</v>
      </c>
      <c r="GK38" s="158">
        <f t="shared" si="42"/>
        <v>0</v>
      </c>
      <c r="GL38" s="158">
        <f t="shared" si="42"/>
        <v>0</v>
      </c>
      <c r="GM38" s="158">
        <f t="shared" si="42"/>
        <v>0</v>
      </c>
      <c r="GN38" s="158">
        <f t="shared" si="42"/>
        <v>0</v>
      </c>
      <c r="GO38" s="158">
        <f t="shared" si="42"/>
        <v>0</v>
      </c>
      <c r="GP38" s="158">
        <f t="shared" si="42"/>
        <v>0</v>
      </c>
      <c r="GQ38" s="158">
        <f t="shared" si="42"/>
        <v>0</v>
      </c>
      <c r="GR38" s="158">
        <f t="shared" si="42"/>
        <v>0</v>
      </c>
      <c r="GS38" s="158">
        <f t="shared" si="42"/>
        <v>0</v>
      </c>
      <c r="GT38" s="158">
        <f t="shared" si="42"/>
        <v>0</v>
      </c>
      <c r="GU38" s="158">
        <f t="shared" si="42"/>
        <v>0</v>
      </c>
      <c r="GV38" s="158">
        <f t="shared" si="42"/>
        <v>0</v>
      </c>
    </row>
    <row r="39" spans="1:204" s="157" customFormat="1" ht="13.5">
      <c r="A39" s="119" t="str">
        <f t="shared" si="37"/>
        <v>A4132</v>
      </c>
      <c r="B39" s="119" t="str">
        <f t="shared" si="37"/>
        <v>DIAN</v>
      </c>
      <c r="C39" s="119" t="str">
        <f t="shared" si="37"/>
        <v>Portal</v>
      </c>
      <c r="D39" s="156" t="s">
        <v>226</v>
      </c>
      <c r="E39" s="176">
        <f>IFERROR(1-(E29/E16),0)</f>
        <v>0</v>
      </c>
      <c r="F39" s="158">
        <f>IFERROR(1-(F29/F16),0)</f>
        <v>0.12002815909890885</v>
      </c>
      <c r="G39" s="158">
        <f t="shared" si="38"/>
        <v>0</v>
      </c>
      <c r="H39" s="158">
        <f t="shared" si="38"/>
        <v>0</v>
      </c>
      <c r="I39" s="158">
        <f t="shared" si="39"/>
        <v>0</v>
      </c>
      <c r="J39" s="158">
        <f t="shared" si="39"/>
        <v>0</v>
      </c>
      <c r="K39" s="158">
        <f t="shared" si="39"/>
        <v>0</v>
      </c>
      <c r="L39" s="158">
        <f t="shared" si="39"/>
        <v>0</v>
      </c>
      <c r="M39" s="158">
        <f t="shared" si="39"/>
        <v>0</v>
      </c>
      <c r="N39" s="158">
        <f t="shared" si="39"/>
        <v>0</v>
      </c>
      <c r="O39" s="158">
        <f t="shared" si="39"/>
        <v>0</v>
      </c>
      <c r="P39" s="158">
        <f t="shared" si="39"/>
        <v>0</v>
      </c>
      <c r="Q39" s="158">
        <f t="shared" si="39"/>
        <v>0</v>
      </c>
      <c r="R39" s="158">
        <f t="shared" si="40"/>
        <v>0</v>
      </c>
      <c r="S39" s="158">
        <f t="shared" si="40"/>
        <v>0</v>
      </c>
      <c r="T39" s="158">
        <f t="shared" si="40"/>
        <v>0</v>
      </c>
      <c r="U39" s="158">
        <f t="shared" si="40"/>
        <v>0</v>
      </c>
      <c r="V39" s="158">
        <f t="shared" si="40"/>
        <v>0</v>
      </c>
      <c r="W39" s="158">
        <f t="shared" si="40"/>
        <v>0</v>
      </c>
      <c r="X39" s="158">
        <f t="shared" si="40"/>
        <v>0</v>
      </c>
      <c r="Y39" s="158">
        <f t="shared" si="40"/>
        <v>0</v>
      </c>
      <c r="Z39" s="158">
        <f t="shared" si="40"/>
        <v>0</v>
      </c>
      <c r="AA39" s="158">
        <f t="shared" si="40"/>
        <v>0</v>
      </c>
      <c r="AB39" s="158">
        <f t="shared" si="40"/>
        <v>0</v>
      </c>
      <c r="AC39" s="158">
        <f t="shared" si="40"/>
        <v>0</v>
      </c>
      <c r="AD39" s="158">
        <f t="shared" si="40"/>
        <v>0</v>
      </c>
      <c r="AE39" s="158">
        <f t="shared" si="40"/>
        <v>0</v>
      </c>
      <c r="AF39" s="158">
        <f t="shared" si="40"/>
        <v>0</v>
      </c>
      <c r="AG39" s="158">
        <f t="shared" si="40"/>
        <v>0</v>
      </c>
      <c r="AH39" s="158">
        <f t="shared" si="40"/>
        <v>0</v>
      </c>
      <c r="AI39" s="158">
        <f t="shared" si="40"/>
        <v>0</v>
      </c>
      <c r="AJ39" s="158">
        <f t="shared" si="40"/>
        <v>0</v>
      </c>
      <c r="AK39" s="158">
        <f t="shared" si="40"/>
        <v>0</v>
      </c>
      <c r="AL39" s="158">
        <f t="shared" si="40"/>
        <v>0</v>
      </c>
      <c r="AM39" s="158">
        <f t="shared" si="40"/>
        <v>0</v>
      </c>
      <c r="AN39" s="158">
        <f t="shared" si="40"/>
        <v>0</v>
      </c>
      <c r="AO39" s="158">
        <f t="shared" si="40"/>
        <v>0</v>
      </c>
      <c r="AP39" s="158">
        <f t="shared" si="40"/>
        <v>0</v>
      </c>
      <c r="AQ39" s="158">
        <f t="shared" si="40"/>
        <v>0</v>
      </c>
      <c r="AR39" s="158">
        <f t="shared" si="40"/>
        <v>0</v>
      </c>
      <c r="AS39" s="158">
        <f t="shared" si="40"/>
        <v>0</v>
      </c>
      <c r="AT39" s="158">
        <f t="shared" si="40"/>
        <v>0</v>
      </c>
      <c r="AU39" s="158">
        <f t="shared" si="40"/>
        <v>0</v>
      </c>
      <c r="AV39" s="158">
        <f t="shared" si="40"/>
        <v>0</v>
      </c>
      <c r="AW39" s="158">
        <f t="shared" si="40"/>
        <v>0</v>
      </c>
      <c r="AX39" s="158">
        <f t="shared" si="40"/>
        <v>0</v>
      </c>
      <c r="AY39" s="158">
        <f t="shared" si="40"/>
        <v>0</v>
      </c>
      <c r="AZ39" s="158">
        <f t="shared" si="40"/>
        <v>0</v>
      </c>
      <c r="BA39" s="158">
        <f t="shared" si="40"/>
        <v>0</v>
      </c>
      <c r="BB39" s="158">
        <f t="shared" si="40"/>
        <v>0</v>
      </c>
      <c r="BC39" s="158">
        <f t="shared" si="40"/>
        <v>0</v>
      </c>
      <c r="BD39" s="158">
        <f t="shared" si="40"/>
        <v>0</v>
      </c>
      <c r="BE39" s="158">
        <f t="shared" si="40"/>
        <v>0</v>
      </c>
      <c r="BF39" s="158">
        <f t="shared" si="40"/>
        <v>0</v>
      </c>
      <c r="BG39" s="158">
        <f t="shared" si="40"/>
        <v>0</v>
      </c>
      <c r="BH39" s="158">
        <f t="shared" si="40"/>
        <v>0</v>
      </c>
      <c r="BI39" s="158">
        <f t="shared" si="40"/>
        <v>0</v>
      </c>
      <c r="BJ39" s="158">
        <f t="shared" si="40"/>
        <v>0</v>
      </c>
      <c r="BK39" s="158">
        <f t="shared" si="40"/>
        <v>0</v>
      </c>
      <c r="BL39" s="158">
        <f t="shared" si="40"/>
        <v>0</v>
      </c>
      <c r="BM39" s="158">
        <f t="shared" si="40"/>
        <v>0</v>
      </c>
      <c r="BN39" s="158">
        <f t="shared" si="40"/>
        <v>0</v>
      </c>
      <c r="BO39" s="158">
        <f t="shared" si="40"/>
        <v>0</v>
      </c>
      <c r="BP39" s="158">
        <f t="shared" si="40"/>
        <v>0</v>
      </c>
      <c r="BQ39" s="158">
        <f t="shared" si="40"/>
        <v>0</v>
      </c>
      <c r="BR39" s="158">
        <f t="shared" si="40"/>
        <v>0</v>
      </c>
      <c r="BS39" s="158">
        <f t="shared" si="40"/>
        <v>0</v>
      </c>
      <c r="BT39" s="158">
        <f t="shared" si="40"/>
        <v>0</v>
      </c>
      <c r="BU39" s="158">
        <f t="shared" si="40"/>
        <v>0</v>
      </c>
      <c r="BV39" s="158">
        <f t="shared" si="40"/>
        <v>0</v>
      </c>
      <c r="BW39" s="158">
        <f t="shared" si="40"/>
        <v>0</v>
      </c>
      <c r="BX39" s="158">
        <f t="shared" si="40"/>
        <v>0</v>
      </c>
      <c r="BY39" s="158">
        <f t="shared" si="40"/>
        <v>0</v>
      </c>
      <c r="BZ39" s="158">
        <f t="shared" si="40"/>
        <v>0</v>
      </c>
      <c r="CA39" s="158">
        <f t="shared" si="40"/>
        <v>0</v>
      </c>
      <c r="CB39" s="158">
        <f t="shared" si="40"/>
        <v>0</v>
      </c>
      <c r="CC39" s="158">
        <f t="shared" si="40"/>
        <v>0</v>
      </c>
      <c r="CD39" s="158">
        <f t="shared" si="41"/>
        <v>0</v>
      </c>
      <c r="CE39" s="158">
        <f t="shared" si="41"/>
        <v>0</v>
      </c>
      <c r="CF39" s="158">
        <f t="shared" si="41"/>
        <v>0</v>
      </c>
      <c r="CG39" s="158">
        <f t="shared" si="41"/>
        <v>0</v>
      </c>
      <c r="CH39" s="158">
        <f t="shared" si="41"/>
        <v>0</v>
      </c>
      <c r="CI39" s="158">
        <f t="shared" si="41"/>
        <v>0</v>
      </c>
      <c r="CJ39" s="158">
        <f t="shared" si="41"/>
        <v>0</v>
      </c>
      <c r="CK39" s="158">
        <f t="shared" si="41"/>
        <v>0</v>
      </c>
      <c r="CL39" s="158">
        <f t="shared" si="41"/>
        <v>0</v>
      </c>
      <c r="CM39" s="158">
        <f t="shared" si="41"/>
        <v>0</v>
      </c>
      <c r="CN39" s="158">
        <f t="shared" si="41"/>
        <v>0</v>
      </c>
      <c r="CO39" s="158">
        <f t="shared" si="41"/>
        <v>0</v>
      </c>
      <c r="CP39" s="158">
        <f t="shared" si="41"/>
        <v>0</v>
      </c>
      <c r="CQ39" s="158">
        <f t="shared" si="41"/>
        <v>0</v>
      </c>
      <c r="CR39" s="158">
        <f t="shared" si="41"/>
        <v>0</v>
      </c>
      <c r="CS39" s="158">
        <f t="shared" si="41"/>
        <v>0</v>
      </c>
      <c r="CT39" s="158">
        <f t="shared" si="41"/>
        <v>0</v>
      </c>
      <c r="CU39" s="158">
        <f t="shared" si="41"/>
        <v>0</v>
      </c>
      <c r="CV39" s="158">
        <f t="shared" si="41"/>
        <v>0</v>
      </c>
      <c r="CW39" s="158">
        <f t="shared" si="41"/>
        <v>0</v>
      </c>
      <c r="CX39" s="158">
        <f t="shared" si="41"/>
        <v>0</v>
      </c>
      <c r="CY39" s="158">
        <f t="shared" si="41"/>
        <v>0</v>
      </c>
      <c r="CZ39" s="158">
        <f t="shared" si="41"/>
        <v>0</v>
      </c>
      <c r="DA39" s="158">
        <f t="shared" si="41"/>
        <v>0</v>
      </c>
      <c r="DB39" s="158">
        <f t="shared" si="41"/>
        <v>0</v>
      </c>
      <c r="DC39" s="158">
        <f t="shared" si="41"/>
        <v>0</v>
      </c>
      <c r="DD39" s="158">
        <f t="shared" si="41"/>
        <v>0</v>
      </c>
      <c r="DE39" s="158">
        <f t="shared" si="41"/>
        <v>0</v>
      </c>
      <c r="DF39" s="158">
        <f t="shared" si="41"/>
        <v>0</v>
      </c>
      <c r="DG39" s="158">
        <f t="shared" si="41"/>
        <v>0</v>
      </c>
      <c r="DH39" s="158">
        <f t="shared" si="41"/>
        <v>0</v>
      </c>
      <c r="DI39" s="158">
        <f t="shared" si="41"/>
        <v>0</v>
      </c>
      <c r="DJ39" s="158">
        <f t="shared" si="41"/>
        <v>0</v>
      </c>
      <c r="DK39" s="158">
        <f t="shared" si="41"/>
        <v>0</v>
      </c>
      <c r="DL39" s="158">
        <f t="shared" si="41"/>
        <v>0</v>
      </c>
      <c r="DM39" s="158">
        <f t="shared" si="41"/>
        <v>0</v>
      </c>
      <c r="DN39" s="158">
        <f t="shared" si="41"/>
        <v>0</v>
      </c>
      <c r="DO39" s="158">
        <f t="shared" si="41"/>
        <v>0</v>
      </c>
      <c r="DP39" s="158">
        <f t="shared" si="41"/>
        <v>0</v>
      </c>
      <c r="DQ39" s="158">
        <f t="shared" si="41"/>
        <v>0</v>
      </c>
      <c r="DR39" s="158">
        <f t="shared" si="41"/>
        <v>0</v>
      </c>
      <c r="DS39" s="158">
        <f t="shared" si="41"/>
        <v>0</v>
      </c>
      <c r="DT39" s="158">
        <f t="shared" si="41"/>
        <v>0</v>
      </c>
      <c r="DU39" s="158">
        <f t="shared" si="41"/>
        <v>0</v>
      </c>
      <c r="DV39" s="158">
        <f t="shared" si="41"/>
        <v>0</v>
      </c>
      <c r="DW39" s="158">
        <f t="shared" si="41"/>
        <v>0</v>
      </c>
      <c r="DX39" s="158">
        <f t="shared" si="41"/>
        <v>0</v>
      </c>
      <c r="DY39" s="158">
        <f t="shared" si="41"/>
        <v>0</v>
      </c>
      <c r="DZ39" s="158">
        <f t="shared" si="41"/>
        <v>0</v>
      </c>
      <c r="EA39" s="158">
        <f t="shared" si="41"/>
        <v>0</v>
      </c>
      <c r="EB39" s="158">
        <f t="shared" si="41"/>
        <v>0</v>
      </c>
      <c r="EC39" s="158">
        <f t="shared" si="41"/>
        <v>0</v>
      </c>
      <c r="ED39" s="158">
        <f t="shared" si="41"/>
        <v>0</v>
      </c>
      <c r="EE39" s="158">
        <f t="shared" si="41"/>
        <v>0</v>
      </c>
      <c r="EF39" s="158">
        <f t="shared" si="41"/>
        <v>0</v>
      </c>
      <c r="EG39" s="158">
        <f t="shared" si="41"/>
        <v>0</v>
      </c>
      <c r="EH39" s="158">
        <f t="shared" si="41"/>
        <v>0</v>
      </c>
      <c r="EI39" s="158">
        <f t="shared" si="41"/>
        <v>0</v>
      </c>
      <c r="EJ39" s="158">
        <f t="shared" si="41"/>
        <v>0</v>
      </c>
      <c r="EK39" s="158">
        <f t="shared" si="41"/>
        <v>0</v>
      </c>
      <c r="EL39" s="158">
        <f t="shared" si="41"/>
        <v>0</v>
      </c>
      <c r="EM39" s="158">
        <f t="shared" si="41"/>
        <v>0</v>
      </c>
      <c r="EN39" s="158">
        <f t="shared" si="41"/>
        <v>0</v>
      </c>
      <c r="EO39" s="158">
        <f t="shared" si="41"/>
        <v>0</v>
      </c>
      <c r="EP39" s="158">
        <f t="shared" si="42"/>
        <v>0</v>
      </c>
      <c r="EQ39" s="158">
        <f t="shared" si="42"/>
        <v>0</v>
      </c>
      <c r="ER39" s="158">
        <f t="shared" si="42"/>
        <v>0</v>
      </c>
      <c r="ES39" s="158">
        <f t="shared" si="42"/>
        <v>0</v>
      </c>
      <c r="ET39" s="158">
        <f t="shared" si="42"/>
        <v>0</v>
      </c>
      <c r="EU39" s="158">
        <f t="shared" si="42"/>
        <v>0</v>
      </c>
      <c r="EV39" s="158">
        <f t="shared" si="42"/>
        <v>0</v>
      </c>
      <c r="EW39" s="158">
        <f t="shared" si="42"/>
        <v>0</v>
      </c>
      <c r="EX39" s="158">
        <f t="shared" si="42"/>
        <v>0</v>
      </c>
      <c r="EY39" s="158">
        <f t="shared" si="42"/>
        <v>0</v>
      </c>
      <c r="EZ39" s="158">
        <f t="shared" si="42"/>
        <v>0</v>
      </c>
      <c r="FA39" s="158">
        <f t="shared" si="42"/>
        <v>0</v>
      </c>
      <c r="FB39" s="158">
        <f t="shared" si="42"/>
        <v>0</v>
      </c>
      <c r="FC39" s="158">
        <f t="shared" si="42"/>
        <v>0</v>
      </c>
      <c r="FD39" s="158">
        <f t="shared" si="42"/>
        <v>0</v>
      </c>
      <c r="FE39" s="158">
        <f t="shared" si="42"/>
        <v>0</v>
      </c>
      <c r="FF39" s="158">
        <f t="shared" si="42"/>
        <v>0</v>
      </c>
      <c r="FG39" s="158">
        <f t="shared" si="42"/>
        <v>0</v>
      </c>
      <c r="FH39" s="158">
        <f t="shared" si="42"/>
        <v>0</v>
      </c>
      <c r="FI39" s="158">
        <f t="shared" si="42"/>
        <v>0</v>
      </c>
      <c r="FJ39" s="158">
        <f t="shared" si="42"/>
        <v>0</v>
      </c>
      <c r="FK39" s="158">
        <f t="shared" si="42"/>
        <v>0</v>
      </c>
      <c r="FL39" s="158">
        <f t="shared" si="42"/>
        <v>0</v>
      </c>
      <c r="FM39" s="158">
        <f t="shared" si="42"/>
        <v>0</v>
      </c>
      <c r="FN39" s="158">
        <f t="shared" si="42"/>
        <v>0</v>
      </c>
      <c r="FO39" s="158">
        <f t="shared" si="42"/>
        <v>0</v>
      </c>
      <c r="FP39" s="158">
        <f t="shared" si="42"/>
        <v>0</v>
      </c>
      <c r="FQ39" s="158">
        <f t="shared" si="42"/>
        <v>0</v>
      </c>
      <c r="FR39" s="158">
        <f t="shared" si="42"/>
        <v>0</v>
      </c>
      <c r="FS39" s="158">
        <f t="shared" si="42"/>
        <v>0</v>
      </c>
      <c r="FT39" s="158">
        <f t="shared" si="42"/>
        <v>0</v>
      </c>
      <c r="FU39" s="158">
        <f t="shared" si="42"/>
        <v>0</v>
      </c>
      <c r="FV39" s="158">
        <f t="shared" si="42"/>
        <v>0</v>
      </c>
      <c r="FW39" s="158">
        <f t="shared" si="42"/>
        <v>0</v>
      </c>
      <c r="FX39" s="158">
        <f t="shared" si="42"/>
        <v>0</v>
      </c>
      <c r="FY39" s="158">
        <f t="shared" si="42"/>
        <v>0</v>
      </c>
      <c r="FZ39" s="158">
        <f t="shared" si="42"/>
        <v>0</v>
      </c>
      <c r="GA39" s="158">
        <f t="shared" si="42"/>
        <v>0</v>
      </c>
      <c r="GB39" s="158">
        <f t="shared" si="42"/>
        <v>0</v>
      </c>
      <c r="GC39" s="158">
        <f t="shared" si="42"/>
        <v>0</v>
      </c>
      <c r="GD39" s="158">
        <f t="shared" si="42"/>
        <v>0</v>
      </c>
      <c r="GE39" s="158">
        <f t="shared" si="42"/>
        <v>0</v>
      </c>
      <c r="GF39" s="158">
        <f t="shared" si="42"/>
        <v>0</v>
      </c>
      <c r="GG39" s="158">
        <f t="shared" si="42"/>
        <v>0</v>
      </c>
      <c r="GH39" s="158">
        <f t="shared" si="42"/>
        <v>0</v>
      </c>
      <c r="GI39" s="158">
        <f t="shared" si="42"/>
        <v>0</v>
      </c>
      <c r="GJ39" s="158">
        <f t="shared" si="42"/>
        <v>0</v>
      </c>
      <c r="GK39" s="158">
        <f t="shared" si="42"/>
        <v>0</v>
      </c>
      <c r="GL39" s="158">
        <f t="shared" si="42"/>
        <v>0</v>
      </c>
      <c r="GM39" s="158">
        <f t="shared" si="42"/>
        <v>0</v>
      </c>
      <c r="GN39" s="158">
        <f t="shared" si="42"/>
        <v>0</v>
      </c>
      <c r="GO39" s="158">
        <f t="shared" si="42"/>
        <v>0</v>
      </c>
      <c r="GP39" s="158">
        <f t="shared" si="42"/>
        <v>0</v>
      </c>
      <c r="GQ39" s="158">
        <f t="shared" si="42"/>
        <v>0</v>
      </c>
      <c r="GR39" s="158">
        <f t="shared" si="42"/>
        <v>0</v>
      </c>
      <c r="GS39" s="158">
        <f t="shared" si="42"/>
        <v>0</v>
      </c>
      <c r="GT39" s="158">
        <f t="shared" si="42"/>
        <v>0</v>
      </c>
      <c r="GU39" s="158">
        <f t="shared" si="42"/>
        <v>0</v>
      </c>
      <c r="GV39" s="158">
        <f t="shared" si="42"/>
        <v>0</v>
      </c>
    </row>
    <row r="40" spans="1:204" s="157" customFormat="1" ht="13.5">
      <c r="A40" s="119" t="str">
        <f t="shared" ref="A40:C40" si="43">A17</f>
        <v>A4132</v>
      </c>
      <c r="B40" s="119" t="str">
        <f t="shared" si="43"/>
        <v>DIAN</v>
      </c>
      <c r="C40" s="119" t="str">
        <f t="shared" si="43"/>
        <v>Portal</v>
      </c>
      <c r="D40" s="156" t="s">
        <v>227</v>
      </c>
      <c r="E40" s="176">
        <f t="shared" ref="E40" si="44">IFERROR(1-(E30/E17),0)</f>
        <v>0.43070815305234367</v>
      </c>
      <c r="F40" s="158">
        <f>IFERROR(1-(F30/F17),0)</f>
        <v>0.15813259423045134</v>
      </c>
      <c r="G40" s="158">
        <f t="shared" ref="G40:H40" si="45">IFERROR(1-(G30/G17),0)</f>
        <v>0.49994999376091842</v>
      </c>
      <c r="H40" s="158">
        <f>IFERROR(1-(H30/H17),0)</f>
        <v>0.52571727405146063</v>
      </c>
      <c r="I40" s="158">
        <f t="shared" ref="I40:Q40" si="46">IFERROR(1-(I30/I17),0)</f>
        <v>0.43040924602601671</v>
      </c>
      <c r="J40" s="158">
        <f t="shared" si="46"/>
        <v>0.43040924602601671</v>
      </c>
      <c r="K40" s="158">
        <f t="shared" si="46"/>
        <v>0.43040924602601671</v>
      </c>
      <c r="L40" s="158">
        <f t="shared" si="46"/>
        <v>0.29488210355232736</v>
      </c>
      <c r="M40" s="158">
        <f t="shared" si="46"/>
        <v>0.29488210355232736</v>
      </c>
      <c r="N40" s="158">
        <f t="shared" si="46"/>
        <v>0.29488210355232736</v>
      </c>
      <c r="O40" s="158">
        <f t="shared" si="46"/>
        <v>0.29488210355232736</v>
      </c>
      <c r="P40" s="158">
        <f t="shared" si="46"/>
        <v>0.29488210355232736</v>
      </c>
      <c r="Q40" s="158">
        <f t="shared" si="46"/>
        <v>0.29488210355232736</v>
      </c>
      <c r="R40" s="158">
        <f t="shared" ref="R40:CC40" si="47">IFERROR(1-(R30/R17),0)</f>
        <v>0.29488210355232736</v>
      </c>
      <c r="S40" s="158">
        <f t="shared" si="47"/>
        <v>0.29488210355232736</v>
      </c>
      <c r="T40" s="158">
        <f t="shared" si="47"/>
        <v>0</v>
      </c>
      <c r="U40" s="158">
        <f t="shared" si="47"/>
        <v>0</v>
      </c>
      <c r="V40" s="158">
        <f t="shared" si="47"/>
        <v>0</v>
      </c>
      <c r="W40" s="158">
        <f t="shared" si="47"/>
        <v>0</v>
      </c>
      <c r="X40" s="158">
        <f t="shared" si="47"/>
        <v>0</v>
      </c>
      <c r="Y40" s="158">
        <f t="shared" si="47"/>
        <v>0</v>
      </c>
      <c r="Z40" s="158">
        <f t="shared" si="47"/>
        <v>0</v>
      </c>
      <c r="AA40" s="158">
        <f t="shared" si="47"/>
        <v>0</v>
      </c>
      <c r="AB40" s="158">
        <f t="shared" si="47"/>
        <v>0</v>
      </c>
      <c r="AC40" s="158">
        <f t="shared" si="47"/>
        <v>0</v>
      </c>
      <c r="AD40" s="158">
        <f t="shared" si="47"/>
        <v>0</v>
      </c>
      <c r="AE40" s="158">
        <f t="shared" si="47"/>
        <v>0</v>
      </c>
      <c r="AF40" s="158">
        <f t="shared" si="47"/>
        <v>0</v>
      </c>
      <c r="AG40" s="158">
        <f t="shared" si="47"/>
        <v>0</v>
      </c>
      <c r="AH40" s="158">
        <f t="shared" si="47"/>
        <v>0</v>
      </c>
      <c r="AI40" s="158">
        <f t="shared" si="47"/>
        <v>0</v>
      </c>
      <c r="AJ40" s="158">
        <f t="shared" si="47"/>
        <v>0</v>
      </c>
      <c r="AK40" s="158">
        <f t="shared" si="47"/>
        <v>0</v>
      </c>
      <c r="AL40" s="158">
        <f t="shared" si="47"/>
        <v>0</v>
      </c>
      <c r="AM40" s="158">
        <f t="shared" si="47"/>
        <v>0</v>
      </c>
      <c r="AN40" s="158">
        <f t="shared" si="47"/>
        <v>0</v>
      </c>
      <c r="AO40" s="158">
        <f t="shared" si="47"/>
        <v>0</v>
      </c>
      <c r="AP40" s="158">
        <f t="shared" si="47"/>
        <v>0</v>
      </c>
      <c r="AQ40" s="158">
        <f t="shared" si="47"/>
        <v>0</v>
      </c>
      <c r="AR40" s="158">
        <f t="shared" si="47"/>
        <v>0</v>
      </c>
      <c r="AS40" s="158">
        <f t="shared" si="47"/>
        <v>0</v>
      </c>
      <c r="AT40" s="158">
        <f t="shared" si="47"/>
        <v>0</v>
      </c>
      <c r="AU40" s="158">
        <f t="shared" si="47"/>
        <v>0</v>
      </c>
      <c r="AV40" s="158">
        <f t="shared" si="47"/>
        <v>0</v>
      </c>
      <c r="AW40" s="158">
        <f t="shared" si="47"/>
        <v>0</v>
      </c>
      <c r="AX40" s="158">
        <f t="shared" si="47"/>
        <v>0</v>
      </c>
      <c r="AY40" s="158">
        <f t="shared" si="47"/>
        <v>0</v>
      </c>
      <c r="AZ40" s="158">
        <f t="shared" si="47"/>
        <v>0</v>
      </c>
      <c r="BA40" s="158">
        <f t="shared" si="47"/>
        <v>0</v>
      </c>
      <c r="BB40" s="158">
        <f t="shared" si="47"/>
        <v>0</v>
      </c>
      <c r="BC40" s="158">
        <f t="shared" si="47"/>
        <v>0</v>
      </c>
      <c r="BD40" s="158">
        <f t="shared" si="47"/>
        <v>0</v>
      </c>
      <c r="BE40" s="158">
        <f t="shared" si="47"/>
        <v>0</v>
      </c>
      <c r="BF40" s="158">
        <f t="shared" si="47"/>
        <v>0</v>
      </c>
      <c r="BG40" s="158">
        <f t="shared" si="47"/>
        <v>0</v>
      </c>
      <c r="BH40" s="158">
        <f t="shared" si="47"/>
        <v>0</v>
      </c>
      <c r="BI40" s="158">
        <f t="shared" si="47"/>
        <v>0</v>
      </c>
      <c r="BJ40" s="158">
        <f t="shared" si="47"/>
        <v>0</v>
      </c>
      <c r="BK40" s="158">
        <f t="shared" si="47"/>
        <v>0</v>
      </c>
      <c r="BL40" s="158">
        <f t="shared" si="47"/>
        <v>0</v>
      </c>
      <c r="BM40" s="158">
        <f t="shared" si="47"/>
        <v>0</v>
      </c>
      <c r="BN40" s="158">
        <f t="shared" si="47"/>
        <v>0</v>
      </c>
      <c r="BO40" s="158">
        <f t="shared" si="47"/>
        <v>0</v>
      </c>
      <c r="BP40" s="158">
        <f t="shared" si="47"/>
        <v>0</v>
      </c>
      <c r="BQ40" s="158">
        <f t="shared" si="47"/>
        <v>0</v>
      </c>
      <c r="BR40" s="158">
        <f t="shared" si="47"/>
        <v>0</v>
      </c>
      <c r="BS40" s="158">
        <f t="shared" si="47"/>
        <v>0</v>
      </c>
      <c r="BT40" s="158">
        <f t="shared" si="47"/>
        <v>0</v>
      </c>
      <c r="BU40" s="158">
        <f t="shared" si="47"/>
        <v>0</v>
      </c>
      <c r="BV40" s="158">
        <f t="shared" si="47"/>
        <v>0</v>
      </c>
      <c r="BW40" s="158">
        <f t="shared" si="47"/>
        <v>0</v>
      </c>
      <c r="BX40" s="158">
        <f t="shared" si="47"/>
        <v>0</v>
      </c>
      <c r="BY40" s="158">
        <f t="shared" si="47"/>
        <v>0</v>
      </c>
      <c r="BZ40" s="158">
        <f t="shared" si="47"/>
        <v>0</v>
      </c>
      <c r="CA40" s="158">
        <f t="shared" si="47"/>
        <v>0</v>
      </c>
      <c r="CB40" s="158">
        <f t="shared" si="47"/>
        <v>0</v>
      </c>
      <c r="CC40" s="158">
        <f t="shared" si="47"/>
        <v>0</v>
      </c>
      <c r="CD40" s="158">
        <f t="shared" ref="CD40:EO40" si="48">IFERROR(1-(CD30/CD17),0)</f>
        <v>0</v>
      </c>
      <c r="CE40" s="158">
        <f t="shared" si="48"/>
        <v>0</v>
      </c>
      <c r="CF40" s="158">
        <f t="shared" si="48"/>
        <v>0</v>
      </c>
      <c r="CG40" s="158">
        <f t="shared" si="48"/>
        <v>0</v>
      </c>
      <c r="CH40" s="158">
        <f t="shared" si="48"/>
        <v>0</v>
      </c>
      <c r="CI40" s="158">
        <f t="shared" si="48"/>
        <v>0</v>
      </c>
      <c r="CJ40" s="158">
        <f t="shared" si="48"/>
        <v>0</v>
      </c>
      <c r="CK40" s="158">
        <f t="shared" si="48"/>
        <v>0</v>
      </c>
      <c r="CL40" s="158">
        <f t="shared" si="48"/>
        <v>0</v>
      </c>
      <c r="CM40" s="158">
        <f t="shared" si="48"/>
        <v>0</v>
      </c>
      <c r="CN40" s="158">
        <f t="shared" si="48"/>
        <v>0</v>
      </c>
      <c r="CO40" s="158">
        <f t="shared" si="48"/>
        <v>0</v>
      </c>
      <c r="CP40" s="158">
        <f t="shared" si="48"/>
        <v>0</v>
      </c>
      <c r="CQ40" s="158">
        <f t="shared" si="48"/>
        <v>0</v>
      </c>
      <c r="CR40" s="158">
        <f t="shared" si="48"/>
        <v>0</v>
      </c>
      <c r="CS40" s="158">
        <f t="shared" si="48"/>
        <v>0</v>
      </c>
      <c r="CT40" s="158">
        <f t="shared" si="48"/>
        <v>0</v>
      </c>
      <c r="CU40" s="158">
        <f t="shared" si="48"/>
        <v>0</v>
      </c>
      <c r="CV40" s="158">
        <f t="shared" si="48"/>
        <v>0</v>
      </c>
      <c r="CW40" s="158">
        <f t="shared" si="48"/>
        <v>0</v>
      </c>
      <c r="CX40" s="158">
        <f t="shared" si="48"/>
        <v>0</v>
      </c>
      <c r="CY40" s="158">
        <f t="shared" si="48"/>
        <v>0</v>
      </c>
      <c r="CZ40" s="158">
        <f t="shared" si="48"/>
        <v>0</v>
      </c>
      <c r="DA40" s="158">
        <f t="shared" si="48"/>
        <v>0</v>
      </c>
      <c r="DB40" s="158">
        <f t="shared" si="48"/>
        <v>0</v>
      </c>
      <c r="DC40" s="158">
        <f t="shared" si="48"/>
        <v>0</v>
      </c>
      <c r="DD40" s="158">
        <f t="shared" si="48"/>
        <v>0</v>
      </c>
      <c r="DE40" s="158">
        <f t="shared" si="48"/>
        <v>0</v>
      </c>
      <c r="DF40" s="158">
        <f t="shared" si="48"/>
        <v>0</v>
      </c>
      <c r="DG40" s="158">
        <f t="shared" si="48"/>
        <v>0</v>
      </c>
      <c r="DH40" s="158">
        <f t="shared" si="48"/>
        <v>0</v>
      </c>
      <c r="DI40" s="158">
        <f t="shared" si="48"/>
        <v>0</v>
      </c>
      <c r="DJ40" s="158">
        <f t="shared" si="48"/>
        <v>0</v>
      </c>
      <c r="DK40" s="158">
        <f t="shared" si="48"/>
        <v>0</v>
      </c>
      <c r="DL40" s="158">
        <f t="shared" si="48"/>
        <v>0</v>
      </c>
      <c r="DM40" s="158">
        <f t="shared" si="48"/>
        <v>0</v>
      </c>
      <c r="DN40" s="158">
        <f t="shared" si="48"/>
        <v>0</v>
      </c>
      <c r="DO40" s="158">
        <f t="shared" si="48"/>
        <v>0</v>
      </c>
      <c r="DP40" s="158">
        <f t="shared" si="48"/>
        <v>0</v>
      </c>
      <c r="DQ40" s="158">
        <f t="shared" si="48"/>
        <v>0</v>
      </c>
      <c r="DR40" s="158">
        <f t="shared" si="48"/>
        <v>0</v>
      </c>
      <c r="DS40" s="158">
        <f t="shared" si="48"/>
        <v>0</v>
      </c>
      <c r="DT40" s="158">
        <f t="shared" si="48"/>
        <v>0</v>
      </c>
      <c r="DU40" s="158">
        <f t="shared" si="48"/>
        <v>0</v>
      </c>
      <c r="DV40" s="158">
        <f t="shared" si="48"/>
        <v>0</v>
      </c>
      <c r="DW40" s="158">
        <f t="shared" si="48"/>
        <v>0</v>
      </c>
      <c r="DX40" s="158">
        <f t="shared" si="48"/>
        <v>0</v>
      </c>
      <c r="DY40" s="158">
        <f t="shared" si="48"/>
        <v>0</v>
      </c>
      <c r="DZ40" s="158">
        <f t="shared" si="48"/>
        <v>0</v>
      </c>
      <c r="EA40" s="158">
        <f t="shared" si="48"/>
        <v>0</v>
      </c>
      <c r="EB40" s="158">
        <f t="shared" si="48"/>
        <v>0</v>
      </c>
      <c r="EC40" s="158">
        <f t="shared" si="48"/>
        <v>0</v>
      </c>
      <c r="ED40" s="158">
        <f t="shared" si="48"/>
        <v>0</v>
      </c>
      <c r="EE40" s="158">
        <f t="shared" si="48"/>
        <v>0</v>
      </c>
      <c r="EF40" s="158">
        <f t="shared" si="48"/>
        <v>0</v>
      </c>
      <c r="EG40" s="158">
        <f t="shared" si="48"/>
        <v>0</v>
      </c>
      <c r="EH40" s="158">
        <f t="shared" si="48"/>
        <v>0</v>
      </c>
      <c r="EI40" s="158">
        <f t="shared" si="48"/>
        <v>0</v>
      </c>
      <c r="EJ40" s="158">
        <f t="shared" si="48"/>
        <v>0</v>
      </c>
      <c r="EK40" s="158">
        <f t="shared" si="48"/>
        <v>0</v>
      </c>
      <c r="EL40" s="158">
        <f t="shared" si="48"/>
        <v>0</v>
      </c>
      <c r="EM40" s="158">
        <f t="shared" si="48"/>
        <v>0</v>
      </c>
      <c r="EN40" s="158">
        <f t="shared" si="48"/>
        <v>0</v>
      </c>
      <c r="EO40" s="158">
        <f t="shared" si="48"/>
        <v>0</v>
      </c>
      <c r="EP40" s="158">
        <f t="shared" ref="EP40:GV40" si="49">IFERROR(1-(EP30/EP17),0)</f>
        <v>0</v>
      </c>
      <c r="EQ40" s="158">
        <f t="shared" si="49"/>
        <v>0</v>
      </c>
      <c r="ER40" s="158">
        <f t="shared" si="49"/>
        <v>0</v>
      </c>
      <c r="ES40" s="158">
        <f t="shared" si="49"/>
        <v>0</v>
      </c>
      <c r="ET40" s="158">
        <f t="shared" si="49"/>
        <v>0</v>
      </c>
      <c r="EU40" s="158">
        <f t="shared" si="49"/>
        <v>0</v>
      </c>
      <c r="EV40" s="158">
        <f t="shared" si="49"/>
        <v>0</v>
      </c>
      <c r="EW40" s="158">
        <f t="shared" si="49"/>
        <v>0</v>
      </c>
      <c r="EX40" s="158">
        <f t="shared" si="49"/>
        <v>0</v>
      </c>
      <c r="EY40" s="158">
        <f t="shared" si="49"/>
        <v>0</v>
      </c>
      <c r="EZ40" s="158">
        <f t="shared" si="49"/>
        <v>0</v>
      </c>
      <c r="FA40" s="158">
        <f t="shared" si="49"/>
        <v>0</v>
      </c>
      <c r="FB40" s="158">
        <f t="shared" si="49"/>
        <v>0</v>
      </c>
      <c r="FC40" s="158">
        <f t="shared" si="49"/>
        <v>0</v>
      </c>
      <c r="FD40" s="158">
        <f t="shared" si="49"/>
        <v>0</v>
      </c>
      <c r="FE40" s="158">
        <f t="shared" si="49"/>
        <v>0</v>
      </c>
      <c r="FF40" s="158">
        <f t="shared" si="49"/>
        <v>0</v>
      </c>
      <c r="FG40" s="158">
        <f t="shared" si="49"/>
        <v>0</v>
      </c>
      <c r="FH40" s="158">
        <f t="shared" si="49"/>
        <v>0</v>
      </c>
      <c r="FI40" s="158">
        <f t="shared" si="49"/>
        <v>0</v>
      </c>
      <c r="FJ40" s="158">
        <f t="shared" si="49"/>
        <v>0</v>
      </c>
      <c r="FK40" s="158">
        <f t="shared" si="49"/>
        <v>0</v>
      </c>
      <c r="FL40" s="158">
        <f t="shared" si="49"/>
        <v>0</v>
      </c>
      <c r="FM40" s="158">
        <f t="shared" si="49"/>
        <v>0</v>
      </c>
      <c r="FN40" s="158">
        <f t="shared" si="49"/>
        <v>0</v>
      </c>
      <c r="FO40" s="158">
        <f t="shared" si="49"/>
        <v>0</v>
      </c>
      <c r="FP40" s="158">
        <f t="shared" si="49"/>
        <v>0</v>
      </c>
      <c r="FQ40" s="158">
        <f t="shared" si="49"/>
        <v>0</v>
      </c>
      <c r="FR40" s="158">
        <f t="shared" si="49"/>
        <v>0</v>
      </c>
      <c r="FS40" s="158">
        <f t="shared" si="49"/>
        <v>0</v>
      </c>
      <c r="FT40" s="158">
        <f t="shared" si="49"/>
        <v>0</v>
      </c>
      <c r="FU40" s="158">
        <f t="shared" si="49"/>
        <v>0</v>
      </c>
      <c r="FV40" s="158">
        <f t="shared" si="49"/>
        <v>0</v>
      </c>
      <c r="FW40" s="158">
        <f t="shared" si="49"/>
        <v>0</v>
      </c>
      <c r="FX40" s="158">
        <f t="shared" si="49"/>
        <v>0</v>
      </c>
      <c r="FY40" s="158">
        <f t="shared" si="49"/>
        <v>0</v>
      </c>
      <c r="FZ40" s="158">
        <f t="shared" si="49"/>
        <v>0</v>
      </c>
      <c r="GA40" s="158">
        <f t="shared" si="49"/>
        <v>0</v>
      </c>
      <c r="GB40" s="158">
        <f t="shared" si="49"/>
        <v>0</v>
      </c>
      <c r="GC40" s="158">
        <f t="shared" si="49"/>
        <v>0</v>
      </c>
      <c r="GD40" s="158">
        <f t="shared" si="49"/>
        <v>0</v>
      </c>
      <c r="GE40" s="158">
        <f t="shared" si="49"/>
        <v>0</v>
      </c>
      <c r="GF40" s="158">
        <f t="shared" si="49"/>
        <v>0</v>
      </c>
      <c r="GG40" s="158">
        <f t="shared" si="49"/>
        <v>0</v>
      </c>
      <c r="GH40" s="158">
        <f t="shared" si="49"/>
        <v>0</v>
      </c>
      <c r="GI40" s="158">
        <f t="shared" si="49"/>
        <v>0</v>
      </c>
      <c r="GJ40" s="158">
        <f t="shared" si="49"/>
        <v>0</v>
      </c>
      <c r="GK40" s="158">
        <f t="shared" si="49"/>
        <v>0</v>
      </c>
      <c r="GL40" s="158">
        <f t="shared" si="49"/>
        <v>0</v>
      </c>
      <c r="GM40" s="158">
        <f t="shared" si="49"/>
        <v>0</v>
      </c>
      <c r="GN40" s="158">
        <f t="shared" si="49"/>
        <v>0</v>
      </c>
      <c r="GO40" s="158">
        <f t="shared" si="49"/>
        <v>0</v>
      </c>
      <c r="GP40" s="158">
        <f t="shared" si="49"/>
        <v>0</v>
      </c>
      <c r="GQ40" s="158">
        <f t="shared" si="49"/>
        <v>0</v>
      </c>
      <c r="GR40" s="158">
        <f t="shared" si="49"/>
        <v>0</v>
      </c>
      <c r="GS40" s="158">
        <f t="shared" si="49"/>
        <v>0</v>
      </c>
      <c r="GT40" s="158">
        <f t="shared" si="49"/>
        <v>0</v>
      </c>
      <c r="GU40" s="158">
        <f t="shared" si="49"/>
        <v>0</v>
      </c>
      <c r="GV40" s="158">
        <f t="shared" si="49"/>
        <v>0</v>
      </c>
    </row>
  </sheetData>
  <mergeCells count="4">
    <mergeCell ref="A23:B23"/>
    <mergeCell ref="A33:B33"/>
    <mergeCell ref="A1:B1"/>
    <mergeCell ref="A10:B10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E021-D84B-43B5-A8B9-9F88B863FE30}">
  <dimension ref="A1:JM102"/>
  <sheetViews>
    <sheetView showGridLines="0" workbookViewId="0">
      <selection activeCell="C12" sqref="C12"/>
    </sheetView>
  </sheetViews>
  <sheetFormatPr defaultColWidth="18.85546875" defaultRowHeight="12.75"/>
  <cols>
    <col min="1" max="1" width="19.28515625" style="121" customWidth="1"/>
    <col min="2" max="2" width="21" style="121" customWidth="1"/>
    <col min="3" max="3" width="22.7109375" style="121" customWidth="1"/>
    <col min="4" max="4" width="25.5703125" style="121" customWidth="1"/>
    <col min="5" max="16384" width="18.85546875" style="121"/>
  </cols>
  <sheetData>
    <row r="1" spans="1:152">
      <c r="A1" s="117" t="s">
        <v>163</v>
      </c>
      <c r="B1" s="117" t="s">
        <v>165</v>
      </c>
      <c r="C1" s="117" t="s">
        <v>167</v>
      </c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152" ht="13.5">
      <c r="A2" s="142" t="str">
        <f>Parameters!B14</f>
        <v>A4132</v>
      </c>
      <c r="B2" s="142" t="str">
        <f>Parameters!B15</f>
        <v>DIAN</v>
      </c>
      <c r="C2" s="142" t="str">
        <f>Parameters!B16</f>
        <v>Portal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spans="1:152">
      <c r="A3" s="139"/>
      <c r="B3" s="139"/>
      <c r="C3" s="139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1:152">
      <c r="A4" s="117" t="s">
        <v>228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152">
      <c r="A5" s="117" t="s">
        <v>1</v>
      </c>
      <c r="B5" s="118" t="s">
        <v>19</v>
      </c>
      <c r="C5" s="9" t="s">
        <v>123</v>
      </c>
      <c r="D5" s="9" t="s">
        <v>28</v>
      </c>
      <c r="E5" s="141" t="s">
        <v>229</v>
      </c>
      <c r="F5" s="141" t="s">
        <v>230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 spans="1:152" ht="13.5">
      <c r="A6" s="119" t="s">
        <v>10</v>
      </c>
      <c r="B6" s="119">
        <f>B16</f>
        <v>1307520000</v>
      </c>
      <c r="C6" s="40">
        <f>IFERROR(1-(Finance!E25/Finance!E12),0)</f>
        <v>0.5279537426242773</v>
      </c>
      <c r="D6" s="40">
        <f>IFERROR((B6/$B$11),0)</f>
        <v>0.22437065637065637</v>
      </c>
      <c r="E6" s="136">
        <v>1089600000</v>
      </c>
      <c r="F6" s="136">
        <v>217920000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  <c r="BI6" s="137"/>
      <c r="BJ6" s="137"/>
      <c r="BK6" s="137"/>
      <c r="BL6" s="137"/>
      <c r="BM6" s="137"/>
      <c r="BN6" s="137"/>
      <c r="BO6" s="137"/>
      <c r="BP6" s="137"/>
      <c r="BQ6" s="137"/>
      <c r="BR6" s="137"/>
      <c r="BS6" s="137"/>
      <c r="BT6" s="137"/>
      <c r="BU6" s="137"/>
      <c r="BV6" s="137"/>
      <c r="BW6" s="137"/>
      <c r="BX6" s="137"/>
      <c r="BY6" s="137"/>
      <c r="BZ6" s="137"/>
      <c r="CA6" s="137"/>
      <c r="CB6" s="137"/>
      <c r="CC6" s="137"/>
      <c r="CD6" s="137"/>
      <c r="CE6" s="137"/>
      <c r="CF6" s="137"/>
      <c r="CG6" s="137"/>
      <c r="CH6" s="137"/>
      <c r="CI6" s="137"/>
      <c r="CJ6" s="137"/>
      <c r="CK6" s="137"/>
      <c r="CL6" s="137"/>
      <c r="CM6" s="137"/>
      <c r="CN6" s="137"/>
      <c r="CO6" s="137"/>
      <c r="CP6" s="137"/>
      <c r="CQ6" s="137"/>
      <c r="CR6" s="137"/>
      <c r="CS6" s="137"/>
      <c r="CT6" s="137"/>
      <c r="CU6" s="137"/>
      <c r="CV6" s="137"/>
      <c r="CW6" s="137"/>
      <c r="CX6" s="137"/>
      <c r="CY6" s="137"/>
      <c r="CZ6" s="137"/>
      <c r="DA6" s="137"/>
      <c r="DB6" s="137"/>
      <c r="DC6" s="137"/>
      <c r="DD6" s="137"/>
      <c r="DE6" s="137"/>
      <c r="DF6" s="137"/>
      <c r="DG6" s="137"/>
      <c r="DH6" s="137"/>
      <c r="DI6" s="137"/>
      <c r="DJ6" s="137"/>
      <c r="DK6" s="137"/>
      <c r="DL6" s="137"/>
      <c r="DM6" s="137"/>
      <c r="DN6" s="137"/>
      <c r="DO6" s="137"/>
      <c r="DP6" s="137"/>
      <c r="DQ6" s="137"/>
      <c r="DR6" s="137"/>
      <c r="DS6" s="137"/>
      <c r="DT6" s="137"/>
      <c r="DU6" s="137"/>
      <c r="DV6" s="137"/>
      <c r="DW6" s="137"/>
      <c r="DX6" s="137"/>
      <c r="DY6" s="137"/>
      <c r="DZ6" s="137"/>
      <c r="EA6" s="137"/>
      <c r="EB6" s="137"/>
      <c r="EC6" s="137"/>
      <c r="ED6" s="137"/>
      <c r="EE6" s="137"/>
      <c r="EF6" s="137"/>
      <c r="EG6" s="137"/>
      <c r="EH6" s="137"/>
      <c r="EI6" s="137"/>
      <c r="EJ6" s="137"/>
      <c r="EK6" s="137"/>
      <c r="EL6" s="137"/>
      <c r="EM6" s="137"/>
      <c r="EN6" s="137"/>
      <c r="EO6" s="137"/>
      <c r="EP6" s="137"/>
      <c r="EQ6" s="137"/>
      <c r="ER6" s="137"/>
      <c r="ES6" s="137"/>
      <c r="ET6" s="137"/>
      <c r="EU6" s="137"/>
      <c r="EV6" s="137"/>
    </row>
    <row r="7" spans="1:152" ht="13.5">
      <c r="A7" s="119" t="s">
        <v>13</v>
      </c>
      <c r="B7" s="119">
        <f>B17</f>
        <v>842454000</v>
      </c>
      <c r="C7" s="40">
        <f>IFERROR(1-(Finance!E26/Finance!E13),0)</f>
        <v>0</v>
      </c>
      <c r="D7" s="40">
        <f t="shared" ref="D7:D11" si="0">IFERROR((B7/$B$11),0)</f>
        <v>0.14456525096525097</v>
      </c>
      <c r="E7" s="136">
        <v>210613500</v>
      </c>
      <c r="F7" s="136">
        <v>631840500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7"/>
      <c r="AY7" s="137"/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137"/>
      <c r="BO7" s="137"/>
      <c r="BP7" s="137"/>
      <c r="BQ7" s="137"/>
      <c r="BR7" s="137"/>
      <c r="BS7" s="137"/>
      <c r="BT7" s="137"/>
      <c r="BU7" s="137"/>
      <c r="BV7" s="137"/>
      <c r="BW7" s="137"/>
      <c r="BX7" s="137"/>
      <c r="BY7" s="137"/>
      <c r="BZ7" s="137"/>
      <c r="CA7" s="137"/>
      <c r="CB7" s="137"/>
      <c r="CC7" s="137"/>
      <c r="CD7" s="137"/>
      <c r="CE7" s="137"/>
      <c r="CF7" s="137"/>
      <c r="CG7" s="137"/>
      <c r="CH7" s="137"/>
      <c r="CI7" s="137"/>
      <c r="CJ7" s="137"/>
      <c r="CK7" s="137"/>
      <c r="CL7" s="137"/>
      <c r="CM7" s="137"/>
      <c r="CN7" s="137"/>
      <c r="CO7" s="137"/>
      <c r="CP7" s="137"/>
      <c r="CQ7" s="137"/>
      <c r="CR7" s="137"/>
      <c r="CS7" s="137"/>
      <c r="CT7" s="137"/>
      <c r="CU7" s="137"/>
      <c r="CV7" s="137"/>
      <c r="CW7" s="137"/>
      <c r="CX7" s="137"/>
      <c r="CY7" s="137"/>
      <c r="CZ7" s="137"/>
      <c r="DA7" s="137"/>
      <c r="DB7" s="137"/>
      <c r="DC7" s="137"/>
      <c r="DD7" s="137"/>
      <c r="DE7" s="137"/>
      <c r="DF7" s="137"/>
      <c r="DG7" s="137"/>
      <c r="DH7" s="137"/>
      <c r="DI7" s="137"/>
      <c r="DJ7" s="137"/>
      <c r="DK7" s="137"/>
      <c r="DL7" s="137"/>
      <c r="DM7" s="137"/>
      <c r="DN7" s="137"/>
      <c r="DO7" s="137"/>
      <c r="DP7" s="137"/>
      <c r="DQ7" s="137"/>
      <c r="DR7" s="137"/>
      <c r="DS7" s="137"/>
      <c r="DT7" s="137"/>
      <c r="DU7" s="137"/>
      <c r="DV7" s="137"/>
      <c r="DW7" s="137"/>
      <c r="DX7" s="137"/>
      <c r="DY7" s="137"/>
      <c r="DZ7" s="137"/>
      <c r="EA7" s="137"/>
      <c r="EB7" s="137"/>
      <c r="EC7" s="137"/>
      <c r="ED7" s="137"/>
      <c r="EE7" s="137"/>
      <c r="EF7" s="137"/>
      <c r="EG7" s="137"/>
      <c r="EH7" s="137"/>
      <c r="EI7" s="137"/>
      <c r="EJ7" s="137"/>
      <c r="EK7" s="137"/>
      <c r="EL7" s="137"/>
      <c r="EM7" s="137"/>
      <c r="EN7" s="137"/>
      <c r="EO7" s="137"/>
      <c r="EP7" s="137"/>
      <c r="EQ7" s="137"/>
      <c r="ER7" s="137"/>
      <c r="ES7" s="137"/>
      <c r="ET7" s="137"/>
      <c r="EU7" s="137"/>
      <c r="EV7" s="137"/>
    </row>
    <row r="8" spans="1:152" ht="13.5">
      <c r="A8" s="119" t="s">
        <v>158</v>
      </c>
      <c r="B8" s="119">
        <f>B18</f>
        <v>1287054000</v>
      </c>
      <c r="C8" s="40">
        <f>IFERROR(1-(Finance!E27/Finance!E14),0)</f>
        <v>7.0257142857142907E-2</v>
      </c>
      <c r="D8" s="40">
        <f t="shared" si="0"/>
        <v>0.22085868725868726</v>
      </c>
      <c r="E8" s="136">
        <v>270828000</v>
      </c>
      <c r="F8" s="136">
        <v>1016226000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37"/>
      <c r="AN8" s="137"/>
      <c r="AO8" s="137"/>
      <c r="AP8" s="137"/>
      <c r="AQ8" s="137"/>
      <c r="AR8" s="137"/>
      <c r="AS8" s="137"/>
      <c r="AT8" s="137"/>
      <c r="AU8" s="137"/>
      <c r="AV8" s="137"/>
      <c r="AW8" s="137"/>
      <c r="AX8" s="137"/>
      <c r="AY8" s="137"/>
      <c r="AZ8" s="137"/>
      <c r="BA8" s="137"/>
      <c r="BB8" s="137"/>
      <c r="BC8" s="137"/>
      <c r="BD8" s="137"/>
      <c r="BE8" s="137"/>
      <c r="BF8" s="137"/>
      <c r="BG8" s="137"/>
      <c r="BH8" s="137"/>
      <c r="BI8" s="137"/>
      <c r="BJ8" s="137"/>
      <c r="BK8" s="137"/>
      <c r="BL8" s="137"/>
      <c r="BM8" s="137"/>
      <c r="BN8" s="137"/>
      <c r="BO8" s="137"/>
      <c r="BP8" s="137"/>
      <c r="BQ8" s="137"/>
      <c r="BR8" s="137"/>
      <c r="BS8" s="137"/>
      <c r="BT8" s="137"/>
      <c r="BU8" s="137"/>
      <c r="BV8" s="137"/>
      <c r="BW8" s="137"/>
      <c r="BX8" s="137"/>
      <c r="BY8" s="137"/>
      <c r="BZ8" s="137"/>
      <c r="CA8" s="137"/>
      <c r="CB8" s="137"/>
      <c r="CC8" s="137"/>
      <c r="CD8" s="137"/>
      <c r="CE8" s="137"/>
      <c r="CF8" s="137"/>
      <c r="CG8" s="137"/>
      <c r="CH8" s="137"/>
      <c r="CI8" s="137"/>
      <c r="CJ8" s="137"/>
      <c r="CK8" s="137"/>
      <c r="CL8" s="137"/>
      <c r="CM8" s="137"/>
      <c r="CN8" s="137"/>
      <c r="CO8" s="137"/>
      <c r="CP8" s="137"/>
      <c r="CQ8" s="137"/>
      <c r="CR8" s="137"/>
      <c r="CS8" s="137"/>
      <c r="CT8" s="137"/>
      <c r="CU8" s="137"/>
      <c r="CV8" s="137"/>
      <c r="CW8" s="137"/>
      <c r="CX8" s="137"/>
      <c r="CY8" s="137"/>
      <c r="CZ8" s="137"/>
      <c r="DA8" s="137"/>
      <c r="DB8" s="137"/>
      <c r="DC8" s="137"/>
      <c r="DD8" s="137"/>
      <c r="DE8" s="137"/>
      <c r="DF8" s="137"/>
      <c r="DG8" s="137"/>
      <c r="DH8" s="137"/>
      <c r="DI8" s="137"/>
      <c r="DJ8" s="137"/>
      <c r="DK8" s="137"/>
      <c r="DL8" s="137"/>
      <c r="DM8" s="137"/>
      <c r="DN8" s="137"/>
      <c r="DO8" s="137"/>
      <c r="DP8" s="137"/>
      <c r="DQ8" s="137"/>
      <c r="DR8" s="137"/>
      <c r="DS8" s="137"/>
      <c r="DT8" s="137"/>
      <c r="DU8" s="137"/>
      <c r="DV8" s="137"/>
      <c r="DW8" s="137"/>
      <c r="DX8" s="137"/>
      <c r="DY8" s="137"/>
      <c r="DZ8" s="137"/>
      <c r="EA8" s="137"/>
      <c r="EB8" s="137"/>
      <c r="EC8" s="137"/>
      <c r="ED8" s="137"/>
      <c r="EE8" s="137"/>
      <c r="EF8" s="137"/>
      <c r="EG8" s="137"/>
      <c r="EH8" s="137"/>
      <c r="EI8" s="137"/>
      <c r="EJ8" s="137"/>
      <c r="EK8" s="137"/>
      <c r="EL8" s="137"/>
      <c r="EM8" s="137"/>
      <c r="EN8" s="137"/>
      <c r="EO8" s="137"/>
      <c r="EP8" s="137"/>
      <c r="EQ8" s="137"/>
      <c r="ER8" s="137"/>
      <c r="ES8" s="137"/>
      <c r="ET8" s="137"/>
      <c r="EU8" s="137"/>
      <c r="EV8" s="137"/>
    </row>
    <row r="9" spans="1:152" ht="13.5">
      <c r="A9" s="119" t="s">
        <v>160</v>
      </c>
      <c r="B9" s="119">
        <f>B19</f>
        <v>140400000</v>
      </c>
      <c r="C9" s="40">
        <f>IFERROR(1-(Finance!E28/Finance!E15),0)</f>
        <v>0</v>
      </c>
      <c r="D9" s="40">
        <f t="shared" si="0"/>
        <v>2.4092664092664091E-2</v>
      </c>
      <c r="E9" s="136">
        <v>35100000</v>
      </c>
      <c r="F9" s="136">
        <v>105300000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 s="137"/>
      <c r="AD9" s="137"/>
      <c r="AE9" s="137"/>
      <c r="AF9" s="137"/>
      <c r="AG9" s="137"/>
      <c r="AH9" s="137"/>
      <c r="AI9" s="137"/>
      <c r="AJ9" s="137"/>
      <c r="AK9" s="137"/>
      <c r="AL9" s="137"/>
      <c r="AM9" s="137"/>
      <c r="AN9" s="137"/>
      <c r="AO9" s="137"/>
      <c r="AP9" s="137"/>
      <c r="AQ9" s="137"/>
      <c r="AR9" s="137"/>
      <c r="AS9" s="137"/>
      <c r="AT9" s="137"/>
      <c r="AU9" s="137"/>
      <c r="AV9" s="137"/>
      <c r="AW9" s="137"/>
      <c r="AX9" s="137"/>
      <c r="AY9" s="137"/>
      <c r="AZ9" s="137"/>
      <c r="BA9" s="137"/>
      <c r="BB9" s="137"/>
      <c r="BC9" s="137"/>
      <c r="BD9" s="137"/>
      <c r="BE9" s="137"/>
      <c r="BF9" s="137"/>
      <c r="BG9" s="137"/>
      <c r="BH9" s="137"/>
      <c r="BI9" s="137"/>
      <c r="BJ9" s="137"/>
      <c r="BK9" s="137"/>
      <c r="BL9" s="137"/>
      <c r="BM9" s="137"/>
      <c r="BN9" s="137"/>
      <c r="BO9" s="137"/>
      <c r="BP9" s="137"/>
      <c r="BQ9" s="137"/>
      <c r="BR9" s="137"/>
      <c r="BS9" s="137"/>
      <c r="BT9" s="137"/>
      <c r="BU9" s="137"/>
      <c r="BV9" s="137"/>
      <c r="BW9" s="137"/>
      <c r="BX9" s="137"/>
      <c r="BY9" s="137"/>
      <c r="BZ9" s="137"/>
      <c r="CA9" s="137"/>
      <c r="CB9" s="137"/>
      <c r="CC9" s="137"/>
      <c r="CD9" s="137"/>
      <c r="CE9" s="137"/>
      <c r="CF9" s="137"/>
      <c r="CG9" s="137"/>
      <c r="CH9" s="137"/>
      <c r="CI9" s="137"/>
      <c r="CJ9" s="137"/>
      <c r="CK9" s="137"/>
      <c r="CL9" s="137"/>
      <c r="CM9" s="137"/>
      <c r="CN9" s="137"/>
      <c r="CO9" s="137"/>
      <c r="CP9" s="137"/>
      <c r="CQ9" s="137"/>
      <c r="CR9" s="137"/>
      <c r="CS9" s="137"/>
      <c r="CT9" s="137"/>
      <c r="CU9" s="137"/>
      <c r="CV9" s="137"/>
      <c r="CW9" s="137"/>
      <c r="CX9" s="137"/>
      <c r="CY9" s="137"/>
      <c r="CZ9" s="137"/>
      <c r="DA9" s="137"/>
      <c r="DB9" s="137"/>
      <c r="DC9" s="137"/>
      <c r="DD9" s="137"/>
      <c r="DE9" s="137"/>
      <c r="DF9" s="137"/>
      <c r="DG9" s="137"/>
      <c r="DH9" s="137"/>
      <c r="DI9" s="137"/>
      <c r="DJ9" s="137"/>
      <c r="DK9" s="137"/>
      <c r="DL9" s="137"/>
      <c r="DM9" s="137"/>
      <c r="DN9" s="137"/>
      <c r="DO9" s="137"/>
      <c r="DP9" s="137"/>
      <c r="DQ9" s="137"/>
      <c r="DR9" s="137"/>
      <c r="DS9" s="137"/>
      <c r="DT9" s="137"/>
      <c r="DU9" s="137"/>
      <c r="DV9" s="137"/>
      <c r="DW9" s="137"/>
      <c r="DX9" s="137"/>
      <c r="DY9" s="137"/>
      <c r="DZ9" s="137"/>
      <c r="EA9" s="137"/>
      <c r="EB9" s="137"/>
      <c r="EC9" s="137"/>
      <c r="ED9" s="137"/>
      <c r="EE9" s="137"/>
      <c r="EF9" s="137"/>
      <c r="EG9" s="137"/>
      <c r="EH9" s="137"/>
      <c r="EI9" s="137"/>
      <c r="EJ9" s="137"/>
      <c r="EK9" s="137"/>
      <c r="EL9" s="137"/>
      <c r="EM9" s="137"/>
      <c r="EN9" s="137"/>
      <c r="EO9" s="137"/>
      <c r="EP9" s="137"/>
      <c r="EQ9" s="137"/>
      <c r="ER9" s="137"/>
      <c r="ES9" s="137"/>
      <c r="ET9" s="137"/>
      <c r="EU9" s="137"/>
      <c r="EV9" s="137"/>
    </row>
    <row r="10" spans="1:152" ht="13.5">
      <c r="A10" s="192" t="s">
        <v>213</v>
      </c>
      <c r="B10" s="191">
        <f>B20</f>
        <v>2250072000</v>
      </c>
      <c r="C10" s="40">
        <f>IFERROR(1-(Finance!E29/Finance!E16),0)</f>
        <v>0</v>
      </c>
      <c r="D10" s="40">
        <f>IFERROR((B10/$B$11),0)</f>
        <v>0.38611274131274131</v>
      </c>
      <c r="E10" s="136">
        <v>2250072000</v>
      </c>
      <c r="F10" s="136">
        <v>0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  <c r="BI10" s="137"/>
      <c r="BJ10" s="137"/>
      <c r="BK10" s="137"/>
      <c r="BL10" s="137"/>
      <c r="BM10" s="137"/>
      <c r="BN10" s="137"/>
      <c r="BO10" s="137"/>
      <c r="BP10" s="137"/>
      <c r="BQ10" s="137"/>
      <c r="BR10" s="137"/>
      <c r="BS10" s="137"/>
      <c r="BT10" s="137"/>
      <c r="BU10" s="137"/>
      <c r="BV10" s="137"/>
      <c r="BW10" s="137"/>
      <c r="BX10" s="137"/>
      <c r="BY10" s="137"/>
      <c r="BZ10" s="137"/>
      <c r="CA10" s="137"/>
      <c r="CB10" s="137"/>
      <c r="CC10" s="137"/>
      <c r="CD10" s="137"/>
      <c r="CE10" s="137"/>
      <c r="CF10" s="137"/>
      <c r="CG10" s="137"/>
      <c r="CH10" s="137"/>
      <c r="CI10" s="137"/>
      <c r="CJ10" s="137"/>
      <c r="CK10" s="137"/>
      <c r="CL10" s="137"/>
      <c r="CM10" s="137"/>
      <c r="CN10" s="137"/>
      <c r="CO10" s="137"/>
      <c r="CP10" s="137"/>
      <c r="CQ10" s="137"/>
      <c r="CR10" s="137"/>
      <c r="CS10" s="137"/>
      <c r="CT10" s="137"/>
      <c r="CU10" s="137"/>
      <c r="CV10" s="137"/>
      <c r="CW10" s="137"/>
      <c r="CX10" s="137"/>
      <c r="CY10" s="137"/>
      <c r="CZ10" s="137"/>
      <c r="DA10" s="137"/>
      <c r="DB10" s="137"/>
      <c r="DC10" s="137"/>
      <c r="DD10" s="137"/>
      <c r="DE10" s="137"/>
      <c r="DF10" s="137"/>
      <c r="DG10" s="137"/>
      <c r="DH10" s="137"/>
      <c r="DI10" s="137"/>
      <c r="DJ10" s="137"/>
      <c r="DK10" s="137"/>
      <c r="DL10" s="137"/>
      <c r="DM10" s="137"/>
      <c r="DN10" s="137"/>
      <c r="DO10" s="137"/>
      <c r="DP10" s="137"/>
      <c r="DQ10" s="137"/>
      <c r="DR10" s="137"/>
      <c r="DS10" s="137"/>
      <c r="DT10" s="137"/>
      <c r="DU10" s="137"/>
      <c r="DV10" s="137"/>
      <c r="DW10" s="137"/>
      <c r="DX10" s="137"/>
      <c r="DY10" s="137"/>
      <c r="DZ10" s="137"/>
      <c r="EA10" s="137"/>
      <c r="EB10" s="137"/>
      <c r="EC10" s="137"/>
      <c r="ED10" s="137"/>
      <c r="EE10" s="137"/>
      <c r="EF10" s="137"/>
      <c r="EG10" s="137"/>
      <c r="EH10" s="137"/>
      <c r="EI10" s="137"/>
      <c r="EJ10" s="137"/>
      <c r="EK10" s="137"/>
      <c r="EL10" s="137"/>
      <c r="EM10" s="137"/>
      <c r="EN10" s="137"/>
      <c r="EO10" s="137"/>
      <c r="EP10" s="137"/>
      <c r="EQ10" s="137"/>
      <c r="ER10" s="137"/>
      <c r="ES10" s="137"/>
      <c r="ET10" s="137"/>
      <c r="EU10" s="137"/>
      <c r="EV10" s="137"/>
    </row>
    <row r="11" spans="1:152" ht="13.5">
      <c r="A11" s="119" t="s">
        <v>19</v>
      </c>
      <c r="B11" s="167">
        <f>B21</f>
        <v>5827500000</v>
      </c>
      <c r="C11" s="40">
        <f>IFERROR(1-(Finance!E30/Finance!E17),0)</f>
        <v>0.43070815305234367</v>
      </c>
      <c r="D11" s="40">
        <f>SUM(D6:D9)</f>
        <v>0.61388725868725869</v>
      </c>
      <c r="E11" s="136">
        <f>SUM(E6:E10)</f>
        <v>3856213500</v>
      </c>
      <c r="F11" s="136">
        <f>SUM(F6:F10)</f>
        <v>1971286500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 s="140"/>
      <c r="AD11" s="140"/>
      <c r="AE11" s="140"/>
      <c r="AF11" s="140"/>
      <c r="AG11" s="140"/>
      <c r="AH11" s="140"/>
      <c r="AI11" s="140"/>
      <c r="AJ11" s="140"/>
      <c r="AK11" s="140"/>
      <c r="AL11" s="140"/>
      <c r="AM11" s="140"/>
      <c r="AN11" s="140"/>
      <c r="AO11" s="140"/>
      <c r="AP11" s="140"/>
      <c r="AQ11" s="140"/>
      <c r="AR11" s="140"/>
      <c r="AS11" s="140"/>
      <c r="AT11" s="140"/>
      <c r="AU11" s="140"/>
      <c r="AV11" s="140"/>
      <c r="AW11" s="140"/>
      <c r="AX11" s="140"/>
      <c r="AY11" s="140"/>
      <c r="AZ11" s="140"/>
      <c r="BA11" s="140"/>
      <c r="BB11" s="140"/>
      <c r="BC11" s="140"/>
      <c r="BD11" s="140"/>
      <c r="BE11" s="140"/>
      <c r="BF11" s="140"/>
      <c r="BG11" s="140"/>
      <c r="BH11" s="140"/>
      <c r="BI11" s="140"/>
      <c r="BJ11" s="140"/>
      <c r="BK11" s="140"/>
      <c r="BL11" s="140"/>
      <c r="BM11" s="140"/>
      <c r="BN11" s="140"/>
      <c r="BO11" s="140"/>
      <c r="BP11" s="140"/>
      <c r="BQ11" s="140"/>
      <c r="BR11" s="140"/>
      <c r="BS11" s="140"/>
      <c r="BT11" s="140"/>
      <c r="BU11" s="140"/>
      <c r="BV11" s="140"/>
      <c r="BW11" s="140"/>
      <c r="BX11" s="140"/>
      <c r="BY11" s="140"/>
      <c r="BZ11" s="140"/>
      <c r="CA11" s="140"/>
      <c r="CB11" s="140"/>
      <c r="CC11" s="140"/>
      <c r="CD11" s="140"/>
      <c r="CE11" s="140"/>
      <c r="CF11" s="140"/>
      <c r="CG11" s="140"/>
      <c r="CH11" s="140"/>
      <c r="CI11" s="140"/>
      <c r="CJ11" s="140"/>
      <c r="CK11" s="140"/>
      <c r="CL11" s="140"/>
      <c r="CM11" s="140"/>
      <c r="CN11" s="140"/>
      <c r="CO11" s="140"/>
      <c r="CP11" s="140"/>
      <c r="CQ11" s="140"/>
      <c r="CR11" s="140"/>
      <c r="CS11" s="140"/>
      <c r="CT11" s="140"/>
      <c r="CU11" s="140"/>
      <c r="CV11" s="140"/>
      <c r="CW11" s="140"/>
      <c r="CX11" s="140"/>
      <c r="CY11" s="140"/>
      <c r="CZ11" s="140"/>
      <c r="DA11" s="140"/>
      <c r="DB11" s="140"/>
      <c r="DC11" s="140"/>
      <c r="DD11" s="140"/>
      <c r="DE11" s="140"/>
      <c r="DF11" s="140"/>
      <c r="DG11" s="140"/>
      <c r="DH11" s="140"/>
      <c r="DI11" s="140"/>
      <c r="DJ11" s="140"/>
      <c r="DK11" s="140"/>
      <c r="DL11" s="140"/>
      <c r="DM11" s="140"/>
      <c r="DN11" s="140"/>
      <c r="DO11" s="140"/>
      <c r="DP11" s="140"/>
      <c r="DQ11" s="140"/>
      <c r="DR11" s="140"/>
      <c r="DS11" s="140"/>
      <c r="DT11" s="140"/>
      <c r="DU11" s="140"/>
      <c r="DV11" s="140"/>
      <c r="DW11" s="140"/>
      <c r="DX11" s="140"/>
      <c r="DY11" s="140"/>
      <c r="DZ11" s="140"/>
      <c r="EA11" s="140"/>
      <c r="EB11" s="140"/>
      <c r="EC11" s="140"/>
      <c r="ED11" s="140"/>
      <c r="EE11" s="140"/>
      <c r="EF11" s="140"/>
      <c r="EG11" s="140"/>
      <c r="EH11" s="140"/>
      <c r="EI11" s="140"/>
      <c r="EJ11" s="140"/>
      <c r="EK11" s="140"/>
      <c r="EL11" s="140"/>
      <c r="EM11" s="140"/>
      <c r="EN11" s="140"/>
      <c r="EO11" s="140"/>
      <c r="EP11" s="140"/>
      <c r="EQ11" s="140"/>
      <c r="ER11" s="140"/>
      <c r="ES11" s="140"/>
      <c r="ET11" s="140"/>
      <c r="EU11" s="140"/>
      <c r="EV11" s="140"/>
    </row>
    <row r="12" spans="1:152">
      <c r="A12"/>
      <c r="B12"/>
      <c r="C12" s="165"/>
      <c r="D12" s="165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  <c r="AK12" s="140"/>
      <c r="AL12" s="140"/>
      <c r="AM12" s="140"/>
      <c r="AN12" s="140"/>
      <c r="AO12" s="140"/>
      <c r="AP12" s="140"/>
      <c r="AQ12" s="140"/>
      <c r="AR12" s="140"/>
      <c r="AS12" s="140"/>
      <c r="AT12" s="140"/>
      <c r="AU12" s="140"/>
      <c r="AV12" s="140"/>
      <c r="AW12" s="140"/>
      <c r="AX12" s="140"/>
      <c r="AY12" s="140"/>
      <c r="AZ12" s="140"/>
      <c r="BA12" s="140"/>
      <c r="BB12" s="140"/>
      <c r="BC12" s="140"/>
      <c r="BD12" s="140"/>
      <c r="BE12" s="140"/>
      <c r="BF12" s="140"/>
      <c r="BG12" s="140"/>
      <c r="BH12" s="140"/>
      <c r="BI12" s="140"/>
      <c r="BJ12" s="140"/>
      <c r="BK12" s="140"/>
      <c r="BL12" s="140"/>
      <c r="BM12" s="140"/>
      <c r="BN12" s="140"/>
      <c r="BO12" s="140"/>
      <c r="BP12" s="140"/>
      <c r="BQ12" s="140"/>
      <c r="BR12" s="140"/>
      <c r="BS12" s="140"/>
      <c r="BT12" s="140"/>
      <c r="BU12" s="140"/>
      <c r="BV12" s="140"/>
      <c r="BW12" s="140"/>
      <c r="BX12" s="140"/>
      <c r="BY12" s="140"/>
      <c r="BZ12" s="140"/>
      <c r="CA12" s="140"/>
      <c r="CB12" s="140"/>
      <c r="CC12" s="140"/>
      <c r="CD12" s="140"/>
      <c r="CE12" s="140"/>
      <c r="CF12" s="140"/>
      <c r="CG12" s="140"/>
      <c r="CH12" s="140"/>
      <c r="CI12" s="140"/>
      <c r="CJ12" s="140"/>
      <c r="CK12" s="140"/>
      <c r="CL12" s="140"/>
      <c r="CM12" s="140"/>
      <c r="CN12" s="140"/>
      <c r="CO12" s="140"/>
      <c r="CP12" s="140"/>
      <c r="CQ12" s="140"/>
      <c r="CR12" s="140"/>
      <c r="CS12" s="140"/>
      <c r="CT12" s="140"/>
      <c r="CU12" s="140"/>
      <c r="CV12" s="140"/>
      <c r="CW12" s="140"/>
      <c r="CX12" s="140"/>
      <c r="CY12" s="140"/>
      <c r="CZ12" s="140"/>
      <c r="DA12" s="140"/>
      <c r="DB12" s="140"/>
      <c r="DC12" s="140"/>
      <c r="DD12" s="140"/>
      <c r="DE12" s="140"/>
      <c r="DF12" s="140"/>
      <c r="DG12" s="140"/>
      <c r="DH12" s="140"/>
      <c r="DI12" s="140"/>
      <c r="DJ12" s="140"/>
      <c r="DK12" s="140"/>
      <c r="DL12" s="140"/>
      <c r="DM12" s="140"/>
      <c r="DN12" s="140"/>
      <c r="DO12" s="140"/>
      <c r="DP12" s="140"/>
      <c r="DQ12" s="140"/>
      <c r="DR12" s="140"/>
      <c r="DS12" s="140"/>
      <c r="DT12" s="140"/>
      <c r="DU12" s="140"/>
      <c r="DV12" s="140"/>
      <c r="DW12" s="140"/>
      <c r="DX12" s="140"/>
      <c r="DY12" s="140"/>
      <c r="DZ12" s="140"/>
      <c r="EA12" s="140"/>
      <c r="EB12" s="140"/>
      <c r="EC12" s="140"/>
      <c r="ED12" s="140"/>
      <c r="EE12" s="140"/>
      <c r="EF12" s="140"/>
      <c r="EG12" s="140"/>
      <c r="EH12" s="140"/>
      <c r="EI12" s="140"/>
      <c r="EJ12" s="140"/>
      <c r="EK12" s="140"/>
      <c r="EL12" s="140"/>
      <c r="EM12" s="140"/>
      <c r="EN12" s="140"/>
      <c r="EO12" s="140"/>
      <c r="EP12" s="140"/>
      <c r="EQ12" s="140"/>
      <c r="ER12" s="140"/>
      <c r="ES12" s="140"/>
      <c r="ET12" s="140"/>
    </row>
    <row r="13" spans="1:152">
      <c r="A13"/>
      <c r="B13"/>
      <c r="C13" s="166"/>
      <c r="D13" s="165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152">
      <c r="A14" s="117" t="s">
        <v>19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152" s="137" customFormat="1">
      <c r="A15" s="117" t="s">
        <v>1</v>
      </c>
      <c r="B15" s="117" t="s">
        <v>19</v>
      </c>
      <c r="C15" s="117" t="s">
        <v>170</v>
      </c>
      <c r="D15" s="117" t="s">
        <v>200</v>
      </c>
      <c r="E15" s="118" t="s">
        <v>201</v>
      </c>
      <c r="F15" s="131" t="s">
        <v>202</v>
      </c>
      <c r="G15" s="131" t="s">
        <v>203</v>
      </c>
      <c r="H15" s="131" t="s">
        <v>204</v>
      </c>
      <c r="I15" s="131" t="s">
        <v>205</v>
      </c>
      <c r="J15" s="131" t="s">
        <v>206</v>
      </c>
      <c r="K15" s="131" t="s">
        <v>207</v>
      </c>
      <c r="L15" s="131" t="s">
        <v>208</v>
      </c>
      <c r="M15" s="131" t="s">
        <v>209</v>
      </c>
      <c r="N15" s="131" t="s">
        <v>210</v>
      </c>
      <c r="O15" s="131" t="s">
        <v>211</v>
      </c>
      <c r="P15" s="131" t="s">
        <v>212</v>
      </c>
      <c r="Q15" s="131"/>
      <c r="R15" s="131"/>
      <c r="S15" s="131"/>
      <c r="T15" s="131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0"/>
      <c r="BE15" s="120"/>
      <c r="BF15" s="120"/>
      <c r="BG15" s="120"/>
      <c r="BH15" s="120"/>
      <c r="BI15" s="120"/>
      <c r="BJ15" s="120"/>
      <c r="BK15" s="120"/>
      <c r="BL15" s="120"/>
      <c r="BM15" s="120"/>
      <c r="BN15" s="120"/>
      <c r="BO15" s="120"/>
      <c r="BP15" s="120"/>
      <c r="BQ15" s="120"/>
      <c r="BR15" s="120"/>
      <c r="BS15" s="120"/>
      <c r="BT15" s="120"/>
      <c r="BU15" s="120"/>
      <c r="BV15" s="120"/>
      <c r="BW15" s="120"/>
      <c r="BX15" s="120"/>
      <c r="BY15" s="120"/>
      <c r="BZ15" s="120"/>
      <c r="CA15" s="120"/>
      <c r="CB15" s="120"/>
      <c r="CC15" s="120"/>
      <c r="CD15" s="120"/>
      <c r="CE15" s="120"/>
      <c r="CF15" s="120"/>
      <c r="CG15" s="120"/>
      <c r="CH15" s="120"/>
      <c r="CI15" s="120"/>
      <c r="CJ15" s="120"/>
      <c r="CK15" s="120"/>
      <c r="CL15" s="120"/>
      <c r="CM15" s="120"/>
      <c r="CN15" s="120"/>
      <c r="CO15" s="120"/>
      <c r="CP15" s="120"/>
      <c r="CQ15" s="120"/>
      <c r="CR15" s="120"/>
      <c r="CS15" s="120"/>
      <c r="CT15" s="120"/>
      <c r="CU15" s="120"/>
      <c r="CV15" s="120"/>
      <c r="CW15" s="120"/>
      <c r="CX15" s="120"/>
      <c r="CY15" s="120"/>
      <c r="CZ15" s="120"/>
      <c r="DA15" s="120"/>
      <c r="DB15" s="120"/>
      <c r="DC15" s="120"/>
      <c r="DD15" s="120"/>
      <c r="DE15" s="120"/>
      <c r="DF15" s="120"/>
      <c r="DG15" s="120"/>
      <c r="DH15" s="120"/>
      <c r="DI15" s="120"/>
      <c r="DJ15" s="120"/>
      <c r="DK15" s="120"/>
      <c r="DL15" s="120"/>
      <c r="DM15" s="120"/>
      <c r="DN15" s="120"/>
      <c r="DO15" s="120"/>
      <c r="DP15" s="120"/>
      <c r="DQ15" s="120"/>
      <c r="DR15" s="120"/>
      <c r="DS15" s="120"/>
      <c r="DT15" s="120"/>
      <c r="DU15" s="120"/>
      <c r="DV15" s="120"/>
      <c r="DW15" s="120"/>
      <c r="DX15" s="120"/>
      <c r="DY15" s="120"/>
      <c r="DZ15" s="120"/>
      <c r="EA15" s="120"/>
      <c r="EB15" s="120"/>
      <c r="EC15" s="120"/>
      <c r="ED15" s="120"/>
      <c r="EE15" s="120"/>
      <c r="EF15" s="120"/>
      <c r="EG15" s="120"/>
      <c r="EH15" s="120"/>
      <c r="EI15" s="120"/>
      <c r="EJ15" s="120"/>
      <c r="EK15" s="120"/>
      <c r="EL15" s="120"/>
      <c r="EM15" s="120"/>
      <c r="EN15" s="120"/>
      <c r="EO15" s="120"/>
      <c r="EP15" s="120"/>
      <c r="EQ15" s="120"/>
      <c r="ER15" s="120"/>
      <c r="ES15" s="120"/>
      <c r="ET15" s="120"/>
    </row>
    <row r="16" spans="1:152" s="149" customFormat="1" ht="13.5">
      <c r="A16" s="147" t="s">
        <v>10</v>
      </c>
      <c r="B16" s="147">
        <v>1307520000</v>
      </c>
      <c r="C16" s="147">
        <v>217920000</v>
      </c>
      <c r="D16" s="147">
        <v>217920000</v>
      </c>
      <c r="E16" s="147">
        <v>217920000</v>
      </c>
      <c r="F16" s="148">
        <v>217920000</v>
      </c>
      <c r="G16" s="148">
        <v>217920000</v>
      </c>
      <c r="H16" s="148">
        <v>217920000</v>
      </c>
      <c r="I16" s="148">
        <v>0</v>
      </c>
      <c r="J16" s="148">
        <v>0</v>
      </c>
      <c r="K16" s="148">
        <v>0</v>
      </c>
      <c r="L16" s="148">
        <v>0</v>
      </c>
      <c r="M16" s="148">
        <v>0</v>
      </c>
      <c r="N16" s="148">
        <v>0</v>
      </c>
      <c r="O16" s="148">
        <v>0</v>
      </c>
      <c r="P16" s="148">
        <v>0</v>
      </c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  <c r="BI16" s="148"/>
      <c r="BJ16" s="148"/>
      <c r="BK16" s="148"/>
      <c r="BL16" s="148"/>
      <c r="BM16" s="148"/>
      <c r="BN16" s="148"/>
      <c r="BO16" s="148"/>
      <c r="BP16" s="148"/>
      <c r="BQ16" s="148"/>
      <c r="BR16" s="148"/>
      <c r="BS16" s="148"/>
      <c r="BT16" s="148"/>
      <c r="BU16" s="148"/>
      <c r="BV16" s="148"/>
      <c r="BW16" s="148"/>
      <c r="BX16" s="148"/>
      <c r="BY16" s="148"/>
      <c r="BZ16" s="148"/>
      <c r="CA16" s="148"/>
      <c r="CB16" s="148"/>
      <c r="CC16" s="148"/>
      <c r="CD16" s="148"/>
      <c r="CE16" s="148"/>
      <c r="CF16" s="148"/>
      <c r="CG16" s="148"/>
      <c r="CH16" s="148"/>
      <c r="CI16" s="148"/>
      <c r="CJ16" s="148"/>
      <c r="CK16" s="148"/>
      <c r="CL16" s="148"/>
      <c r="CM16" s="148"/>
      <c r="CN16" s="148"/>
      <c r="CO16" s="148"/>
      <c r="CP16" s="148"/>
      <c r="CQ16" s="148"/>
      <c r="CR16" s="148"/>
      <c r="CS16" s="148"/>
      <c r="CT16" s="148"/>
      <c r="CU16" s="148"/>
      <c r="CV16" s="148"/>
      <c r="CW16" s="148"/>
      <c r="CX16" s="148"/>
      <c r="CY16" s="148"/>
      <c r="CZ16" s="148"/>
      <c r="DA16" s="148"/>
      <c r="DB16" s="148"/>
      <c r="DC16" s="148"/>
      <c r="DD16" s="148"/>
      <c r="DE16" s="148"/>
      <c r="DF16" s="148"/>
      <c r="DG16" s="148"/>
      <c r="DH16" s="148"/>
      <c r="DI16" s="148"/>
      <c r="DJ16" s="148"/>
      <c r="DK16" s="148"/>
      <c r="DL16" s="148"/>
      <c r="DM16" s="148"/>
      <c r="DN16" s="148"/>
      <c r="DO16" s="148"/>
      <c r="DP16" s="148"/>
      <c r="DQ16" s="148"/>
      <c r="DR16" s="148"/>
      <c r="DS16" s="148"/>
      <c r="DT16" s="148"/>
      <c r="DU16" s="148"/>
      <c r="DV16" s="148"/>
      <c r="DW16" s="148"/>
      <c r="DX16" s="148"/>
      <c r="DY16" s="148"/>
      <c r="DZ16" s="148"/>
      <c r="EA16" s="148"/>
      <c r="EB16" s="148"/>
      <c r="EC16" s="148"/>
      <c r="ED16" s="148"/>
      <c r="EE16" s="148"/>
      <c r="EF16" s="148"/>
      <c r="EG16" s="148"/>
      <c r="EH16" s="148"/>
      <c r="EI16" s="148"/>
      <c r="EJ16" s="148"/>
      <c r="EK16" s="148"/>
      <c r="EL16" s="148"/>
      <c r="EM16" s="148"/>
      <c r="EN16" s="148"/>
      <c r="EO16" s="148"/>
      <c r="EP16" s="148"/>
      <c r="EQ16" s="148"/>
      <c r="ER16" s="148"/>
      <c r="ES16" s="148"/>
      <c r="ET16" s="148"/>
    </row>
    <row r="17" spans="1:273" s="149" customFormat="1" ht="13.5">
      <c r="A17" s="147" t="s">
        <v>13</v>
      </c>
      <c r="B17" s="147">
        <v>842454000</v>
      </c>
      <c r="C17" s="147">
        <v>0</v>
      </c>
      <c r="D17" s="147">
        <v>0</v>
      </c>
      <c r="E17" s="147">
        <v>70204500</v>
      </c>
      <c r="F17" s="149">
        <v>70204500</v>
      </c>
      <c r="G17" s="148">
        <v>70204500</v>
      </c>
      <c r="H17" s="148">
        <v>70204500</v>
      </c>
      <c r="I17" s="148">
        <v>70204500</v>
      </c>
      <c r="J17" s="148">
        <v>70204500</v>
      </c>
      <c r="K17" s="148">
        <v>70204500</v>
      </c>
      <c r="L17" s="148">
        <v>70204500</v>
      </c>
      <c r="M17" s="148">
        <v>70204500</v>
      </c>
      <c r="N17" s="148">
        <v>70204500</v>
      </c>
      <c r="O17" s="148">
        <v>70204500</v>
      </c>
      <c r="P17" s="148">
        <v>70204500</v>
      </c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  <c r="BI17" s="148"/>
      <c r="BJ17" s="148"/>
      <c r="BK17" s="148"/>
      <c r="BL17" s="148"/>
      <c r="BM17" s="148"/>
      <c r="BN17" s="148"/>
      <c r="BO17" s="148"/>
      <c r="BP17" s="148"/>
      <c r="BQ17" s="148"/>
      <c r="BR17" s="148"/>
      <c r="BS17" s="148"/>
      <c r="BT17" s="148"/>
      <c r="BU17" s="148"/>
      <c r="BV17" s="148"/>
      <c r="BW17" s="148"/>
      <c r="BX17" s="148"/>
      <c r="BY17" s="148"/>
      <c r="BZ17" s="148"/>
      <c r="CA17" s="148"/>
      <c r="CB17" s="148"/>
      <c r="CC17" s="148"/>
      <c r="CD17" s="148"/>
      <c r="CE17" s="148"/>
      <c r="CF17" s="148"/>
      <c r="CG17" s="148"/>
      <c r="CH17" s="148"/>
      <c r="CI17" s="148"/>
      <c r="CJ17" s="148"/>
      <c r="CK17" s="148"/>
      <c r="CL17" s="148"/>
      <c r="CM17" s="148"/>
      <c r="CN17" s="148"/>
      <c r="CO17" s="148"/>
      <c r="CP17" s="148"/>
      <c r="CQ17" s="148"/>
      <c r="CR17" s="148"/>
      <c r="CS17" s="148"/>
      <c r="CT17" s="148"/>
      <c r="CU17" s="148"/>
      <c r="CV17" s="148"/>
      <c r="CW17" s="148"/>
      <c r="CX17" s="148"/>
      <c r="CY17" s="148"/>
      <c r="CZ17" s="148"/>
      <c r="DA17" s="148"/>
      <c r="DB17" s="148"/>
      <c r="DC17" s="148"/>
      <c r="DD17" s="148"/>
      <c r="DE17" s="148"/>
      <c r="DF17" s="148"/>
      <c r="DG17" s="148"/>
      <c r="DH17" s="148"/>
      <c r="DI17" s="148"/>
      <c r="DJ17" s="148"/>
      <c r="DK17" s="148"/>
      <c r="DL17" s="148"/>
      <c r="DM17" s="148"/>
      <c r="DN17" s="148"/>
      <c r="DO17" s="148"/>
      <c r="DP17" s="148"/>
      <c r="DQ17" s="148"/>
      <c r="DR17" s="148"/>
      <c r="DS17" s="148"/>
      <c r="DT17" s="148"/>
      <c r="DU17" s="148"/>
      <c r="DV17" s="148"/>
      <c r="DW17" s="148"/>
      <c r="DX17" s="148"/>
      <c r="DY17" s="148"/>
      <c r="DZ17" s="148"/>
      <c r="EA17" s="148"/>
      <c r="EB17" s="148"/>
      <c r="EC17" s="148"/>
      <c r="ED17" s="148"/>
      <c r="EE17" s="148"/>
      <c r="EF17" s="148"/>
      <c r="EG17" s="148"/>
      <c r="EH17" s="148"/>
      <c r="EI17" s="148"/>
      <c r="EJ17" s="148"/>
      <c r="EK17" s="148"/>
      <c r="EL17" s="148"/>
      <c r="EM17" s="148"/>
      <c r="EN17" s="148"/>
      <c r="EO17" s="148"/>
      <c r="EP17" s="148"/>
      <c r="EQ17" s="148"/>
      <c r="ER17" s="148"/>
      <c r="ES17" s="148"/>
      <c r="ET17" s="148"/>
    </row>
    <row r="18" spans="1:273" s="149" customFormat="1" ht="13.5">
      <c r="A18" s="147" t="s">
        <v>158</v>
      </c>
      <c r="B18" s="147">
        <v>1287054000</v>
      </c>
      <c r="C18" s="147">
        <v>0</v>
      </c>
      <c r="D18" s="147">
        <v>22500000</v>
      </c>
      <c r="E18" s="147">
        <v>22500000</v>
      </c>
      <c r="F18" s="148">
        <v>112914000</v>
      </c>
      <c r="G18" s="148">
        <v>112914000</v>
      </c>
      <c r="H18" s="148">
        <v>112914000</v>
      </c>
      <c r="I18" s="148">
        <v>112914000</v>
      </c>
      <c r="J18" s="148">
        <v>112914000</v>
      </c>
      <c r="K18" s="148">
        <v>112914000</v>
      </c>
      <c r="L18" s="148">
        <v>112914000</v>
      </c>
      <c r="M18" s="148">
        <v>112914000</v>
      </c>
      <c r="N18" s="148">
        <v>112914000</v>
      </c>
      <c r="O18" s="148">
        <v>112914000</v>
      </c>
      <c r="P18" s="148">
        <v>112914000</v>
      </c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48"/>
      <c r="CG18" s="148"/>
      <c r="CH18" s="148"/>
      <c r="CI18" s="148"/>
      <c r="CJ18" s="148"/>
      <c r="CK18" s="148"/>
      <c r="CL18" s="148"/>
      <c r="CM18" s="148"/>
      <c r="CN18" s="148"/>
      <c r="CO18" s="148"/>
      <c r="CP18" s="148"/>
      <c r="CQ18" s="148"/>
      <c r="CR18" s="148"/>
      <c r="CS18" s="148"/>
      <c r="CT18" s="148"/>
      <c r="CU18" s="148"/>
      <c r="CV18" s="148"/>
      <c r="CW18" s="148"/>
      <c r="CX18" s="148"/>
      <c r="CY18" s="148"/>
      <c r="CZ18" s="148"/>
      <c r="DA18" s="148"/>
      <c r="DB18" s="148"/>
      <c r="DC18" s="148"/>
      <c r="DD18" s="148"/>
      <c r="DE18" s="148"/>
      <c r="DF18" s="148"/>
      <c r="DG18" s="148"/>
      <c r="DH18" s="148"/>
      <c r="DI18" s="148"/>
      <c r="DJ18" s="148"/>
      <c r="DK18" s="148"/>
      <c r="DL18" s="148"/>
      <c r="DM18" s="148"/>
      <c r="DN18" s="148"/>
      <c r="DO18" s="148"/>
      <c r="DP18" s="148"/>
      <c r="DQ18" s="148"/>
      <c r="DR18" s="148"/>
      <c r="DS18" s="148"/>
      <c r="DT18" s="148"/>
      <c r="DU18" s="148"/>
      <c r="DV18" s="148"/>
      <c r="DW18" s="148"/>
      <c r="DX18" s="148"/>
      <c r="DY18" s="148"/>
      <c r="DZ18" s="148"/>
      <c r="EA18" s="148"/>
      <c r="EB18" s="148"/>
      <c r="EC18" s="148"/>
      <c r="ED18" s="148"/>
      <c r="EE18" s="148"/>
      <c r="EF18" s="148"/>
      <c r="EG18" s="148"/>
      <c r="EH18" s="148"/>
      <c r="EI18" s="148"/>
      <c r="EJ18" s="148"/>
      <c r="EK18" s="148"/>
      <c r="EL18" s="148"/>
      <c r="EM18" s="148"/>
      <c r="EN18" s="148"/>
      <c r="EO18" s="148"/>
      <c r="EP18" s="148"/>
      <c r="EQ18" s="148"/>
      <c r="ER18" s="148"/>
      <c r="ES18" s="148"/>
      <c r="ET18" s="148"/>
    </row>
    <row r="19" spans="1:273" s="149" customFormat="1" ht="13.5">
      <c r="A19" s="147" t="s">
        <v>160</v>
      </c>
      <c r="B19" s="147">
        <v>140400000</v>
      </c>
      <c r="C19" s="147">
        <v>0</v>
      </c>
      <c r="D19" s="147">
        <v>0</v>
      </c>
      <c r="E19" s="147">
        <v>11700000</v>
      </c>
      <c r="F19" s="148">
        <v>11700000</v>
      </c>
      <c r="G19" s="148">
        <v>11700000</v>
      </c>
      <c r="H19" s="148">
        <v>11700000</v>
      </c>
      <c r="I19" s="148">
        <v>11700000</v>
      </c>
      <c r="J19" s="148">
        <v>11700000</v>
      </c>
      <c r="K19" s="148">
        <v>11700000</v>
      </c>
      <c r="L19" s="148">
        <v>11700000</v>
      </c>
      <c r="M19" s="148">
        <v>11700000</v>
      </c>
      <c r="N19" s="148">
        <v>11700000</v>
      </c>
      <c r="O19" s="148">
        <v>11700000</v>
      </c>
      <c r="P19" s="148">
        <v>11700000</v>
      </c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48"/>
      <c r="CG19" s="148"/>
      <c r="CH19" s="148"/>
      <c r="CI19" s="148"/>
      <c r="CJ19" s="148"/>
      <c r="CK19" s="148"/>
      <c r="CL19" s="148"/>
      <c r="CM19" s="148"/>
      <c r="CN19" s="148"/>
      <c r="CO19" s="148"/>
      <c r="CP19" s="148"/>
      <c r="CQ19" s="148"/>
      <c r="CR19" s="148"/>
      <c r="CS19" s="148"/>
      <c r="CT19" s="148"/>
      <c r="CU19" s="148"/>
      <c r="CV19" s="148"/>
      <c r="CW19" s="148"/>
      <c r="CX19" s="148"/>
      <c r="CY19" s="148"/>
      <c r="CZ19" s="148"/>
      <c r="DA19" s="148"/>
      <c r="DB19" s="148"/>
      <c r="DC19" s="148"/>
      <c r="DD19" s="148"/>
      <c r="DE19" s="148"/>
      <c r="DF19" s="148"/>
      <c r="DG19" s="148"/>
      <c r="DH19" s="148"/>
      <c r="DI19" s="148"/>
      <c r="DJ19" s="148"/>
      <c r="DK19" s="148"/>
      <c r="DL19" s="148"/>
      <c r="DM19" s="148"/>
      <c r="DN19" s="148"/>
      <c r="DO19" s="148"/>
      <c r="DP19" s="148"/>
      <c r="DQ19" s="148"/>
      <c r="DR19" s="148"/>
      <c r="DS19" s="148"/>
      <c r="DT19" s="148"/>
      <c r="DU19" s="148"/>
      <c r="DV19" s="148"/>
      <c r="DW19" s="148"/>
      <c r="DX19" s="148"/>
      <c r="DY19" s="148"/>
      <c r="DZ19" s="148"/>
      <c r="EA19" s="148"/>
      <c r="EB19" s="148"/>
      <c r="EC19" s="148"/>
      <c r="ED19" s="148"/>
      <c r="EE19" s="148"/>
      <c r="EF19" s="148"/>
      <c r="EG19" s="148"/>
      <c r="EH19" s="148"/>
      <c r="EI19" s="148"/>
      <c r="EJ19" s="148"/>
      <c r="EK19" s="148"/>
      <c r="EL19" s="148"/>
      <c r="EM19" s="148"/>
      <c r="EN19" s="148"/>
      <c r="EO19" s="148"/>
      <c r="EP19" s="148"/>
      <c r="EQ19" s="148"/>
      <c r="ER19" s="148"/>
      <c r="ES19" s="148"/>
      <c r="ET19" s="148"/>
    </row>
    <row r="20" spans="1:273" s="149" customFormat="1" ht="13.5">
      <c r="A20" s="147" t="s">
        <v>213</v>
      </c>
      <c r="B20" s="147">
        <v>2250072000</v>
      </c>
      <c r="C20" s="147">
        <v>2250072000</v>
      </c>
      <c r="D20" s="147">
        <v>0</v>
      </c>
      <c r="E20" s="147">
        <v>0</v>
      </c>
      <c r="F20" s="147">
        <v>0</v>
      </c>
      <c r="G20" s="147">
        <v>0</v>
      </c>
      <c r="H20" s="147">
        <v>0</v>
      </c>
      <c r="I20" s="147">
        <v>0</v>
      </c>
      <c r="J20" s="147">
        <v>0</v>
      </c>
      <c r="K20" s="147">
        <v>0</v>
      </c>
      <c r="L20" s="147">
        <v>0</v>
      </c>
      <c r="M20" s="147">
        <v>0</v>
      </c>
      <c r="N20" s="147">
        <v>0</v>
      </c>
      <c r="O20" s="147">
        <v>0</v>
      </c>
      <c r="P20" s="147">
        <v>0</v>
      </c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  <c r="AJ20" s="147"/>
      <c r="AK20" s="147"/>
      <c r="AL20" s="147"/>
      <c r="AM20" s="147"/>
      <c r="AN20" s="147"/>
      <c r="AO20" s="147"/>
      <c r="AP20" s="147"/>
      <c r="AQ20" s="147"/>
      <c r="AR20" s="147"/>
      <c r="AS20" s="147"/>
      <c r="AT20" s="147"/>
      <c r="AU20" s="147"/>
      <c r="AV20" s="147"/>
      <c r="AW20" s="147"/>
      <c r="AX20" s="147"/>
      <c r="AY20" s="147"/>
      <c r="AZ20" s="147"/>
      <c r="BA20" s="147"/>
      <c r="BB20" s="147"/>
      <c r="BC20" s="147"/>
      <c r="BD20" s="147"/>
      <c r="BE20" s="147"/>
      <c r="BF20" s="147"/>
      <c r="BG20" s="147"/>
      <c r="BH20" s="147"/>
      <c r="BI20" s="147"/>
      <c r="BJ20" s="147"/>
      <c r="BK20" s="147"/>
      <c r="BL20" s="147"/>
      <c r="BM20" s="147"/>
      <c r="BN20" s="147"/>
      <c r="BO20" s="147"/>
      <c r="BP20" s="147"/>
      <c r="BQ20" s="147"/>
      <c r="BR20" s="147"/>
      <c r="BS20" s="147"/>
      <c r="BT20" s="147"/>
      <c r="BU20" s="147"/>
      <c r="BV20" s="147"/>
      <c r="BW20" s="147"/>
      <c r="BX20" s="147"/>
      <c r="BY20" s="147"/>
      <c r="BZ20" s="147"/>
      <c r="CA20" s="147"/>
      <c r="CB20" s="147"/>
      <c r="CC20" s="147"/>
      <c r="CD20" s="147"/>
      <c r="CE20" s="147"/>
      <c r="CF20" s="147"/>
      <c r="CG20" s="147"/>
      <c r="CH20" s="147"/>
      <c r="CI20" s="147"/>
      <c r="CJ20" s="147"/>
      <c r="CK20" s="147"/>
      <c r="CL20" s="147"/>
      <c r="CM20" s="147"/>
      <c r="CN20" s="147"/>
      <c r="CO20" s="147"/>
      <c r="CP20" s="147"/>
      <c r="CQ20" s="147"/>
      <c r="CR20" s="147"/>
      <c r="CS20" s="147"/>
      <c r="CT20" s="147"/>
      <c r="CU20" s="147"/>
      <c r="CV20" s="147"/>
      <c r="CW20" s="147"/>
      <c r="CX20" s="147"/>
      <c r="CY20" s="147"/>
      <c r="CZ20" s="147"/>
      <c r="DA20" s="147"/>
      <c r="DB20" s="147"/>
      <c r="DC20" s="147"/>
      <c r="DD20" s="147"/>
      <c r="DE20" s="147"/>
      <c r="DF20" s="147"/>
      <c r="DG20" s="147"/>
      <c r="DH20" s="147"/>
      <c r="DI20" s="147"/>
      <c r="DJ20" s="147"/>
      <c r="DK20" s="147"/>
      <c r="DL20" s="147"/>
      <c r="DM20" s="147"/>
      <c r="DN20" s="147"/>
      <c r="DO20" s="147"/>
      <c r="DP20" s="147"/>
      <c r="DQ20" s="147"/>
      <c r="DR20" s="147"/>
      <c r="DS20" s="147"/>
      <c r="DT20" s="147"/>
      <c r="DU20" s="147"/>
      <c r="DV20" s="147"/>
      <c r="DW20" s="147"/>
      <c r="DX20" s="147"/>
      <c r="DY20" s="147"/>
      <c r="DZ20" s="147"/>
      <c r="EA20" s="147"/>
      <c r="EB20" s="147"/>
      <c r="EC20" s="147"/>
      <c r="ED20" s="147"/>
      <c r="EE20" s="147"/>
      <c r="EF20" s="147"/>
      <c r="EG20" s="147"/>
      <c r="EH20" s="147"/>
      <c r="EI20" s="147"/>
      <c r="EJ20" s="147"/>
      <c r="EK20" s="147"/>
      <c r="EL20" s="147"/>
      <c r="EM20" s="147"/>
      <c r="EN20" s="147"/>
      <c r="EO20" s="147"/>
      <c r="EP20" s="147"/>
      <c r="EQ20" s="147"/>
      <c r="ER20" s="147"/>
      <c r="ES20" s="147"/>
      <c r="ET20" s="147"/>
    </row>
    <row r="21" spans="1:273" ht="13.5">
      <c r="A21" s="147" t="s">
        <v>19</v>
      </c>
      <c r="B21" s="147">
        <v>5827500000</v>
      </c>
      <c r="C21" s="147">
        <v>2467992000</v>
      </c>
      <c r="D21" s="147">
        <v>240420000</v>
      </c>
      <c r="E21" s="147">
        <v>322324500</v>
      </c>
      <c r="F21" s="147">
        <v>412738500</v>
      </c>
      <c r="G21" s="147">
        <v>412738500</v>
      </c>
      <c r="H21" s="147">
        <v>412738500</v>
      </c>
      <c r="I21" s="147">
        <v>194818500</v>
      </c>
      <c r="J21" s="147">
        <v>194818500</v>
      </c>
      <c r="K21" s="147">
        <v>194818500</v>
      </c>
      <c r="L21" s="147">
        <v>194818500</v>
      </c>
      <c r="M21" s="147">
        <v>194818500</v>
      </c>
      <c r="N21" s="147">
        <v>194818500</v>
      </c>
      <c r="O21" s="147">
        <v>194818500</v>
      </c>
      <c r="P21" s="147">
        <v>194818500</v>
      </c>
      <c r="Q21" s="147">
        <v>0</v>
      </c>
      <c r="R21" s="147">
        <v>0</v>
      </c>
      <c r="S21" s="147">
        <v>0</v>
      </c>
      <c r="T21" s="147">
        <v>0</v>
      </c>
      <c r="U21" s="147">
        <v>0</v>
      </c>
      <c r="V21" s="147">
        <v>0</v>
      </c>
      <c r="W21" s="147">
        <v>0</v>
      </c>
      <c r="X21" s="147">
        <v>0</v>
      </c>
      <c r="Y21" s="147">
        <v>0</v>
      </c>
      <c r="Z21" s="147">
        <v>0</v>
      </c>
      <c r="AA21" s="147">
        <v>0</v>
      </c>
      <c r="AB21" s="147">
        <v>0</v>
      </c>
      <c r="AC21" s="147">
        <v>0</v>
      </c>
      <c r="AD21" s="147">
        <v>0</v>
      </c>
      <c r="AE21" s="147">
        <v>0</v>
      </c>
      <c r="AF21" s="147">
        <v>0</v>
      </c>
      <c r="AG21" s="147">
        <v>0</v>
      </c>
      <c r="AH21" s="147">
        <v>0</v>
      </c>
      <c r="AI21" s="147">
        <v>0</v>
      </c>
      <c r="AJ21" s="147">
        <v>0</v>
      </c>
      <c r="AK21" s="147">
        <v>0</v>
      </c>
      <c r="AL21" s="147">
        <v>0</v>
      </c>
      <c r="AM21" s="147">
        <v>0</v>
      </c>
      <c r="AN21" s="147">
        <v>0</v>
      </c>
      <c r="AO21" s="147">
        <v>0</v>
      </c>
      <c r="AP21" s="147">
        <v>0</v>
      </c>
      <c r="AQ21" s="147">
        <v>0</v>
      </c>
      <c r="AR21" s="147">
        <v>0</v>
      </c>
      <c r="AS21" s="147">
        <v>0</v>
      </c>
      <c r="AT21" s="147">
        <v>0</v>
      </c>
      <c r="AU21" s="147">
        <v>0</v>
      </c>
      <c r="AV21" s="147">
        <v>0</v>
      </c>
      <c r="AW21" s="147">
        <v>0</v>
      </c>
      <c r="AX21" s="147">
        <v>0</v>
      </c>
      <c r="AY21" s="147">
        <v>0</v>
      </c>
      <c r="AZ21" s="147">
        <v>0</v>
      </c>
      <c r="BA21" s="147">
        <v>0</v>
      </c>
      <c r="BB21" s="147">
        <v>0</v>
      </c>
      <c r="BC21" s="147">
        <v>0</v>
      </c>
      <c r="BD21" s="147">
        <v>0</v>
      </c>
      <c r="BE21" s="147">
        <v>0</v>
      </c>
      <c r="BF21" s="147">
        <v>0</v>
      </c>
      <c r="BG21" s="147">
        <v>0</v>
      </c>
      <c r="BH21" s="147">
        <v>0</v>
      </c>
      <c r="BI21" s="147">
        <v>0</v>
      </c>
      <c r="BJ21" s="147">
        <v>0</v>
      </c>
      <c r="BK21" s="147">
        <v>0</v>
      </c>
      <c r="BL21" s="147">
        <v>0</v>
      </c>
      <c r="BM21" s="147">
        <v>0</v>
      </c>
      <c r="BN21" s="147">
        <v>0</v>
      </c>
      <c r="BO21" s="147">
        <v>0</v>
      </c>
      <c r="BP21" s="147">
        <v>0</v>
      </c>
      <c r="BQ21" s="147">
        <v>0</v>
      </c>
      <c r="BR21" s="147">
        <v>0</v>
      </c>
      <c r="BS21" s="147">
        <v>0</v>
      </c>
      <c r="BT21" s="147">
        <v>0</v>
      </c>
      <c r="BU21" s="147">
        <v>0</v>
      </c>
      <c r="BV21" s="147">
        <v>0</v>
      </c>
      <c r="BW21" s="147">
        <v>0</v>
      </c>
      <c r="BX21" s="147">
        <v>0</v>
      </c>
      <c r="BY21" s="147">
        <v>0</v>
      </c>
      <c r="BZ21" s="147">
        <v>0</v>
      </c>
      <c r="CA21" s="147">
        <v>0</v>
      </c>
      <c r="CB21" s="147">
        <v>0</v>
      </c>
      <c r="CC21" s="147">
        <v>0</v>
      </c>
      <c r="CD21" s="147">
        <v>0</v>
      </c>
      <c r="CE21" s="147">
        <v>0</v>
      </c>
      <c r="CF21" s="147">
        <v>0</v>
      </c>
      <c r="CG21" s="147">
        <v>0</v>
      </c>
      <c r="CH21" s="147">
        <v>0</v>
      </c>
      <c r="CI21" s="147">
        <v>0</v>
      </c>
      <c r="CJ21" s="147">
        <v>0</v>
      </c>
      <c r="CK21" s="147">
        <v>0</v>
      </c>
      <c r="CL21" s="147">
        <v>0</v>
      </c>
      <c r="CM21" s="147">
        <v>0</v>
      </c>
      <c r="CN21" s="147">
        <v>0</v>
      </c>
      <c r="CO21" s="147">
        <v>0</v>
      </c>
      <c r="CP21" s="147">
        <v>0</v>
      </c>
      <c r="CQ21" s="147">
        <v>0</v>
      </c>
      <c r="CR21" s="147">
        <v>0</v>
      </c>
      <c r="CS21" s="147">
        <v>0</v>
      </c>
      <c r="CT21" s="147">
        <v>0</v>
      </c>
      <c r="CU21" s="147">
        <v>0</v>
      </c>
      <c r="CV21" s="147">
        <v>0</v>
      </c>
      <c r="CW21" s="147">
        <v>0</v>
      </c>
      <c r="CX21" s="147">
        <v>0</v>
      </c>
      <c r="CY21" s="147">
        <v>0</v>
      </c>
      <c r="CZ21" s="147">
        <v>0</v>
      </c>
      <c r="DA21" s="147">
        <v>0</v>
      </c>
      <c r="DB21" s="147">
        <v>0</v>
      </c>
      <c r="DC21" s="147">
        <v>0</v>
      </c>
      <c r="DD21" s="147">
        <v>0</v>
      </c>
      <c r="DE21" s="147">
        <v>0</v>
      </c>
      <c r="DF21" s="147">
        <v>0</v>
      </c>
      <c r="DG21" s="147">
        <v>0</v>
      </c>
      <c r="DH21" s="147">
        <v>0</v>
      </c>
      <c r="DI21" s="147">
        <v>0</v>
      </c>
      <c r="DJ21" s="147">
        <v>0</v>
      </c>
      <c r="DK21" s="147">
        <v>0</v>
      </c>
      <c r="DL21" s="147">
        <v>0</v>
      </c>
      <c r="DM21" s="147">
        <v>0</v>
      </c>
      <c r="DN21" s="147">
        <v>0</v>
      </c>
      <c r="DO21" s="147">
        <v>0</v>
      </c>
      <c r="DP21" s="147">
        <v>0</v>
      </c>
      <c r="DQ21" s="147">
        <v>0</v>
      </c>
      <c r="DR21" s="147">
        <v>0</v>
      </c>
      <c r="DS21" s="147">
        <v>0</v>
      </c>
      <c r="DT21" s="147">
        <v>0</v>
      </c>
      <c r="DU21" s="147">
        <v>0</v>
      </c>
      <c r="DV21" s="147">
        <v>0</v>
      </c>
      <c r="DW21" s="147">
        <v>0</v>
      </c>
      <c r="DX21" s="147">
        <v>0</v>
      </c>
      <c r="DY21" s="147">
        <v>0</v>
      </c>
      <c r="DZ21" s="147">
        <v>0</v>
      </c>
      <c r="EA21" s="147">
        <v>0</v>
      </c>
      <c r="EB21" s="147">
        <v>0</v>
      </c>
      <c r="EC21" s="147">
        <v>0</v>
      </c>
      <c r="ED21" s="147">
        <v>0</v>
      </c>
      <c r="EE21" s="147">
        <v>0</v>
      </c>
      <c r="EF21" s="147">
        <v>0</v>
      </c>
      <c r="EG21" s="147">
        <v>0</v>
      </c>
      <c r="EH21" s="147">
        <v>0</v>
      </c>
      <c r="EI21" s="147">
        <v>0</v>
      </c>
      <c r="EJ21" s="147">
        <v>0</v>
      </c>
      <c r="EK21" s="147">
        <v>0</v>
      </c>
      <c r="EL21" s="147">
        <v>0</v>
      </c>
      <c r="EM21" s="147">
        <v>0</v>
      </c>
      <c r="EN21" s="147">
        <v>0</v>
      </c>
      <c r="EO21" s="147">
        <v>0</v>
      </c>
      <c r="EP21" s="147">
        <v>0</v>
      </c>
      <c r="EQ21" s="147">
        <v>0</v>
      </c>
      <c r="ER21" s="147">
        <v>0</v>
      </c>
      <c r="ES21" s="147">
        <v>0</v>
      </c>
      <c r="ET21" s="147">
        <v>0</v>
      </c>
      <c r="EU21" s="149">
        <v>0</v>
      </c>
      <c r="EV21" s="149">
        <v>0</v>
      </c>
      <c r="EW21" s="149">
        <v>0</v>
      </c>
      <c r="EX21" s="149">
        <v>0</v>
      </c>
      <c r="EY21" s="149">
        <v>0</v>
      </c>
      <c r="EZ21" s="149">
        <v>0</v>
      </c>
      <c r="FA21" s="149">
        <v>0</v>
      </c>
      <c r="FB21" s="149">
        <v>0</v>
      </c>
      <c r="FC21" s="149">
        <v>0</v>
      </c>
      <c r="FD21" s="149">
        <v>0</v>
      </c>
      <c r="FE21" s="149">
        <v>0</v>
      </c>
      <c r="FF21" s="149">
        <v>0</v>
      </c>
      <c r="FG21" s="149">
        <v>0</v>
      </c>
      <c r="FH21" s="149">
        <v>0</v>
      </c>
      <c r="FI21" s="149">
        <v>0</v>
      </c>
      <c r="FJ21" s="149">
        <v>0</v>
      </c>
      <c r="FK21" s="149">
        <v>0</v>
      </c>
      <c r="FL21" s="149">
        <v>0</v>
      </c>
      <c r="FM21" s="149">
        <v>0</v>
      </c>
      <c r="FN21" s="149">
        <v>0</v>
      </c>
      <c r="FO21" s="149">
        <v>0</v>
      </c>
      <c r="FP21" s="149">
        <v>0</v>
      </c>
      <c r="FQ21" s="149">
        <v>0</v>
      </c>
      <c r="FR21" s="149">
        <v>0</v>
      </c>
      <c r="FS21" s="149">
        <v>0</v>
      </c>
      <c r="FT21" s="149">
        <v>0</v>
      </c>
      <c r="FU21" s="149">
        <v>0</v>
      </c>
      <c r="FV21" s="149">
        <v>0</v>
      </c>
      <c r="FW21" s="149">
        <v>0</v>
      </c>
      <c r="FX21" s="149">
        <v>0</v>
      </c>
      <c r="FY21" s="149">
        <v>0</v>
      </c>
      <c r="FZ21" s="149">
        <v>0</v>
      </c>
      <c r="GA21" s="149">
        <v>0</v>
      </c>
      <c r="GB21" s="149">
        <v>0</v>
      </c>
      <c r="GC21" s="149">
        <v>0</v>
      </c>
      <c r="GD21" s="149">
        <v>0</v>
      </c>
      <c r="GE21" s="149">
        <v>0</v>
      </c>
      <c r="GF21" s="149">
        <v>0</v>
      </c>
      <c r="GG21" s="149">
        <v>0</v>
      </c>
      <c r="GH21" s="149">
        <v>0</v>
      </c>
      <c r="GI21" s="149">
        <v>0</v>
      </c>
      <c r="GJ21" s="149">
        <v>0</v>
      </c>
      <c r="GK21" s="149">
        <v>0</v>
      </c>
      <c r="GL21" s="149">
        <v>0</v>
      </c>
      <c r="GM21" s="149">
        <v>0</v>
      </c>
      <c r="GN21" s="149">
        <v>0</v>
      </c>
      <c r="GO21" s="149">
        <v>0</v>
      </c>
      <c r="GP21" s="149">
        <v>0</v>
      </c>
      <c r="GQ21" s="149">
        <v>0</v>
      </c>
      <c r="GR21" s="149">
        <v>0</v>
      </c>
      <c r="GS21" s="149">
        <v>0</v>
      </c>
      <c r="GT21" s="149">
        <v>0</v>
      </c>
      <c r="GU21" s="149">
        <v>0</v>
      </c>
      <c r="GV21" s="149">
        <v>0</v>
      </c>
      <c r="GW21" s="149">
        <v>0</v>
      </c>
      <c r="GX21" s="149">
        <v>0</v>
      </c>
      <c r="GY21" s="149">
        <v>0</v>
      </c>
      <c r="GZ21" s="149">
        <v>0</v>
      </c>
      <c r="HA21" s="149">
        <v>0</v>
      </c>
      <c r="HB21" s="149">
        <v>0</v>
      </c>
      <c r="HC21" s="149">
        <v>0</v>
      </c>
      <c r="HD21" s="149">
        <v>0</v>
      </c>
      <c r="HE21" s="149">
        <v>0</v>
      </c>
      <c r="HF21" s="149">
        <v>0</v>
      </c>
      <c r="HG21" s="149">
        <v>0</v>
      </c>
      <c r="HH21" s="149">
        <v>0</v>
      </c>
      <c r="HI21" s="149">
        <v>0</v>
      </c>
      <c r="HJ21" s="149">
        <v>0</v>
      </c>
      <c r="HK21" s="149">
        <v>0</v>
      </c>
      <c r="HL21" s="149">
        <v>0</v>
      </c>
      <c r="HM21" s="149">
        <v>0</v>
      </c>
      <c r="HN21" s="149">
        <v>0</v>
      </c>
      <c r="HO21" s="149">
        <v>0</v>
      </c>
      <c r="HP21" s="149">
        <v>0</v>
      </c>
      <c r="HQ21" s="149">
        <v>0</v>
      </c>
      <c r="HR21" s="149">
        <v>0</v>
      </c>
      <c r="HS21" s="149">
        <v>0</v>
      </c>
      <c r="HT21" s="149">
        <v>0</v>
      </c>
      <c r="HU21" s="149">
        <v>0</v>
      </c>
      <c r="HV21" s="149">
        <v>0</v>
      </c>
      <c r="HW21" s="149">
        <v>0</v>
      </c>
      <c r="HX21" s="149">
        <v>0</v>
      </c>
      <c r="HY21" s="149">
        <v>0</v>
      </c>
      <c r="HZ21" s="149">
        <v>0</v>
      </c>
      <c r="IA21" s="149">
        <v>0</v>
      </c>
      <c r="IB21" s="149">
        <v>0</v>
      </c>
      <c r="IC21" s="149">
        <v>0</v>
      </c>
      <c r="ID21" s="149">
        <v>0</v>
      </c>
      <c r="IE21" s="149">
        <v>0</v>
      </c>
      <c r="IF21" s="149">
        <v>0</v>
      </c>
      <c r="IG21" s="149">
        <v>0</v>
      </c>
      <c r="IH21" s="149">
        <v>0</v>
      </c>
      <c r="II21" s="149">
        <v>0</v>
      </c>
      <c r="IJ21" s="149">
        <v>0</v>
      </c>
      <c r="IK21" s="149">
        <v>0</v>
      </c>
      <c r="IL21" s="149">
        <v>0</v>
      </c>
      <c r="IM21" s="149">
        <v>0</v>
      </c>
      <c r="IN21" s="149">
        <v>0</v>
      </c>
      <c r="IO21" s="149">
        <v>0</v>
      </c>
      <c r="IP21" s="149">
        <v>0</v>
      </c>
      <c r="IQ21" s="149">
        <v>0</v>
      </c>
      <c r="IR21" s="149">
        <v>0</v>
      </c>
      <c r="IS21" s="149">
        <v>0</v>
      </c>
      <c r="IT21" s="149">
        <v>0</v>
      </c>
      <c r="IU21" s="149">
        <v>0</v>
      </c>
      <c r="IV21" s="149">
        <v>0</v>
      </c>
      <c r="IW21" s="149">
        <v>0</v>
      </c>
      <c r="IX21" s="149">
        <v>0</v>
      </c>
      <c r="IY21" s="149">
        <v>0</v>
      </c>
      <c r="IZ21" s="149">
        <v>0</v>
      </c>
      <c r="JA21" s="149">
        <v>0</v>
      </c>
      <c r="JB21" s="149">
        <v>0</v>
      </c>
      <c r="JC21" s="149">
        <v>0</v>
      </c>
      <c r="JD21" s="149">
        <v>0</v>
      </c>
      <c r="JE21" s="149">
        <v>0</v>
      </c>
      <c r="JF21" s="149">
        <v>0</v>
      </c>
      <c r="JG21" s="149">
        <v>0</v>
      </c>
      <c r="JH21" s="149">
        <v>0</v>
      </c>
      <c r="JI21" s="149">
        <v>0</v>
      </c>
      <c r="JJ21" s="149">
        <v>0</v>
      </c>
      <c r="JK21" s="149">
        <v>0</v>
      </c>
      <c r="JL21" s="149">
        <v>0</v>
      </c>
      <c r="JM21" s="149">
        <v>0</v>
      </c>
    </row>
    <row r="22" spans="1:273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1:273" s="151" customFormat="1">
      <c r="A23" s="150">
        <v>2025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 spans="1:273">
      <c r="A24" s="117" t="s">
        <v>1</v>
      </c>
      <c r="B24" s="117" t="s">
        <v>19</v>
      </c>
      <c r="C24" s="117" t="s">
        <v>170</v>
      </c>
      <c r="D24" s="117" t="s">
        <v>200</v>
      </c>
      <c r="E24" s="117" t="s">
        <v>201</v>
      </c>
      <c r="F24" s="117" t="s">
        <v>202</v>
      </c>
      <c r="G24" s="117" t="s">
        <v>203</v>
      </c>
      <c r="H24" s="117" t="s">
        <v>203</v>
      </c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  <c r="AV24" s="117"/>
      <c r="AW24" s="117"/>
      <c r="AX24" s="117"/>
      <c r="AY24" s="117"/>
      <c r="AZ24" s="117"/>
      <c r="BA24" s="117"/>
      <c r="BB24" s="117"/>
      <c r="BC24" s="117"/>
      <c r="BD24" s="117"/>
      <c r="BE24" s="117"/>
      <c r="BF24" s="117"/>
      <c r="BG24" s="117"/>
      <c r="BH24" s="117"/>
      <c r="BI24" s="117"/>
      <c r="BJ24" s="117"/>
      <c r="BK24" s="117"/>
      <c r="BL24" s="117"/>
      <c r="BM24" s="117"/>
      <c r="BN24" s="117"/>
      <c r="BO24" s="117"/>
      <c r="BP24" s="117"/>
      <c r="BQ24" s="117"/>
      <c r="BR24" s="117"/>
      <c r="BS24" s="117"/>
      <c r="BT24" s="117"/>
      <c r="BU24" s="117"/>
      <c r="BV24" s="117"/>
      <c r="BW24" s="117"/>
      <c r="BX24" s="117"/>
      <c r="BY24" s="117"/>
      <c r="BZ24" s="117"/>
      <c r="CA24" s="117"/>
      <c r="CB24" s="117"/>
      <c r="CC24" s="117"/>
      <c r="CD24" s="117"/>
      <c r="CE24" s="117"/>
      <c r="CF24" s="117"/>
      <c r="CG24" s="117"/>
      <c r="CH24" s="117"/>
      <c r="CI24" s="117"/>
      <c r="CJ24" s="117"/>
      <c r="CK24" s="117"/>
      <c r="CL24" s="117"/>
      <c r="CM24" s="117"/>
      <c r="CN24" s="117"/>
      <c r="CO24" s="117"/>
      <c r="CP24" s="117"/>
      <c r="CQ24" s="117"/>
      <c r="CR24" s="117"/>
      <c r="CS24" s="117"/>
      <c r="CT24" s="117"/>
      <c r="CU24" s="117"/>
      <c r="CV24" s="117"/>
      <c r="CW24" s="117"/>
      <c r="CX24" s="117"/>
      <c r="CY24" s="117"/>
      <c r="CZ24" s="117"/>
      <c r="DA24" s="117"/>
      <c r="DB24" s="117"/>
      <c r="DC24" s="117"/>
      <c r="DD24" s="117"/>
      <c r="DE24" s="117"/>
      <c r="DF24" s="117"/>
      <c r="DG24" s="117"/>
      <c r="DH24" s="117"/>
      <c r="DI24" s="117"/>
      <c r="DJ24" s="117"/>
      <c r="DK24" s="117"/>
      <c r="DL24" s="117"/>
      <c r="DM24" s="117"/>
      <c r="DN24" s="117"/>
      <c r="DO24" s="117"/>
      <c r="DP24" s="117"/>
      <c r="DQ24" s="117"/>
      <c r="DR24" s="117"/>
      <c r="DS24" s="117"/>
      <c r="DT24" s="117"/>
      <c r="DU24" s="117"/>
      <c r="DV24" s="117"/>
      <c r="DW24" s="117"/>
      <c r="DX24" s="117"/>
      <c r="DY24" s="117"/>
      <c r="DZ24" s="117"/>
      <c r="EA24" s="117"/>
      <c r="EB24" s="117"/>
      <c r="EC24" s="117"/>
      <c r="ED24" s="117"/>
      <c r="EE24" s="117"/>
      <c r="EF24" s="117"/>
      <c r="EG24" s="117"/>
      <c r="EH24" s="117"/>
      <c r="EI24" s="117"/>
      <c r="EJ24" s="117"/>
      <c r="EK24" s="117"/>
      <c r="EL24" s="117"/>
      <c r="EM24" s="117"/>
      <c r="EN24" s="117"/>
      <c r="EO24" s="117"/>
      <c r="EP24" s="117"/>
      <c r="EQ24" s="117"/>
      <c r="ER24" s="117"/>
      <c r="ES24" s="117"/>
      <c r="ET24" s="117"/>
    </row>
    <row r="25" spans="1:273" ht="13.5">
      <c r="A25" s="147" t="s">
        <v>10</v>
      </c>
      <c r="B25" s="147">
        <v>1089600000</v>
      </c>
      <c r="C25" s="147">
        <v>217920000</v>
      </c>
      <c r="D25" s="147">
        <v>217920000</v>
      </c>
      <c r="E25" s="147">
        <v>217920000</v>
      </c>
      <c r="F25" s="147">
        <v>217920000</v>
      </c>
      <c r="G25" s="147">
        <v>217920000</v>
      </c>
      <c r="H25" s="147">
        <v>305673000</v>
      </c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  <c r="AL25" s="147"/>
      <c r="AM25" s="147"/>
      <c r="AN25" s="147"/>
      <c r="AO25" s="147"/>
      <c r="AP25" s="147"/>
      <c r="AQ25" s="147"/>
      <c r="AR25" s="147"/>
      <c r="AS25" s="147"/>
      <c r="AT25" s="147"/>
      <c r="AU25" s="147"/>
      <c r="AV25" s="147"/>
      <c r="AW25" s="147"/>
      <c r="AX25" s="147"/>
      <c r="AY25" s="147"/>
      <c r="AZ25" s="147"/>
      <c r="BA25" s="147"/>
      <c r="BB25" s="147"/>
      <c r="BC25" s="147"/>
      <c r="BD25" s="147"/>
      <c r="BE25" s="147"/>
      <c r="BF25" s="147"/>
      <c r="BG25" s="147"/>
      <c r="BH25" s="147"/>
      <c r="BI25" s="147"/>
      <c r="BJ25" s="147"/>
      <c r="BK25" s="147"/>
      <c r="BL25" s="147"/>
      <c r="BM25" s="147"/>
      <c r="BN25" s="147"/>
      <c r="BO25" s="147"/>
      <c r="BP25" s="147"/>
      <c r="BQ25" s="147"/>
      <c r="BR25" s="147"/>
      <c r="BS25" s="147"/>
      <c r="BT25" s="147"/>
      <c r="BU25" s="147"/>
      <c r="BV25" s="147"/>
      <c r="BW25" s="147"/>
      <c r="BX25" s="147"/>
      <c r="BY25" s="147"/>
      <c r="BZ25" s="147"/>
      <c r="CA25" s="147"/>
      <c r="CB25" s="147"/>
      <c r="CC25" s="147"/>
      <c r="CD25" s="147"/>
      <c r="CE25" s="147"/>
      <c r="CF25" s="147"/>
      <c r="CG25" s="147"/>
      <c r="CH25" s="147"/>
      <c r="CI25" s="147"/>
      <c r="CJ25" s="147"/>
      <c r="CK25" s="147"/>
      <c r="CL25" s="147"/>
      <c r="CM25" s="147"/>
      <c r="CN25" s="147"/>
      <c r="CO25" s="147"/>
      <c r="CP25" s="147"/>
      <c r="CQ25" s="147"/>
      <c r="CR25" s="147"/>
      <c r="CS25" s="147"/>
      <c r="CT25" s="147"/>
      <c r="CU25" s="147"/>
      <c r="CV25" s="147"/>
      <c r="CW25" s="147"/>
      <c r="CX25" s="147"/>
      <c r="CY25" s="147"/>
      <c r="CZ25" s="147"/>
      <c r="DA25" s="147"/>
      <c r="DB25" s="147"/>
      <c r="DC25" s="147"/>
      <c r="DD25" s="147"/>
      <c r="DE25" s="147"/>
      <c r="DF25" s="147"/>
      <c r="DG25" s="147"/>
      <c r="DH25" s="147"/>
      <c r="DI25" s="147"/>
      <c r="DJ25" s="147"/>
      <c r="DK25" s="147"/>
      <c r="DL25" s="147"/>
      <c r="DM25" s="147"/>
      <c r="DN25" s="147"/>
      <c r="DO25" s="147"/>
      <c r="DP25" s="147"/>
      <c r="DQ25" s="147"/>
      <c r="DR25" s="147"/>
      <c r="DS25" s="147"/>
      <c r="DT25" s="147"/>
      <c r="DU25" s="147"/>
      <c r="DV25" s="147"/>
      <c r="DW25" s="147"/>
      <c r="DX25" s="147"/>
      <c r="DY25" s="147"/>
      <c r="DZ25" s="147"/>
      <c r="EA25" s="147"/>
      <c r="EB25" s="147"/>
      <c r="EC25" s="147"/>
      <c r="ED25" s="147"/>
      <c r="EE25" s="147"/>
      <c r="EF25" s="147"/>
      <c r="EG25" s="147"/>
      <c r="EH25" s="147"/>
      <c r="EI25" s="147"/>
      <c r="EJ25" s="147"/>
      <c r="EK25" s="147"/>
      <c r="EL25" s="147"/>
      <c r="EM25" s="147"/>
      <c r="EN25" s="147"/>
      <c r="EO25" s="147"/>
      <c r="EP25" s="147"/>
      <c r="EQ25" s="147"/>
      <c r="ER25" s="147"/>
      <c r="ES25" s="147"/>
      <c r="ET25" s="147"/>
    </row>
    <row r="26" spans="1:273" ht="13.5">
      <c r="A26" s="147" t="s">
        <v>13</v>
      </c>
      <c r="B26" s="147">
        <v>210613500</v>
      </c>
      <c r="C26" s="147">
        <v>0</v>
      </c>
      <c r="D26" s="147">
        <v>0</v>
      </c>
      <c r="E26" s="147">
        <v>70204500</v>
      </c>
      <c r="F26" s="147">
        <v>70204500</v>
      </c>
      <c r="G26" s="147">
        <v>70204500</v>
      </c>
      <c r="H26" s="147">
        <v>257710500</v>
      </c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  <c r="AJ26" s="147"/>
      <c r="AK26" s="147"/>
      <c r="AL26" s="147"/>
      <c r="AM26" s="147"/>
      <c r="AN26" s="147"/>
      <c r="AO26" s="147"/>
      <c r="AP26" s="147"/>
      <c r="AQ26" s="147"/>
      <c r="AR26" s="147"/>
      <c r="AS26" s="147"/>
      <c r="AT26" s="147"/>
      <c r="AU26" s="147"/>
      <c r="AV26" s="147"/>
      <c r="AW26" s="147"/>
      <c r="AX26" s="147"/>
      <c r="AY26" s="147"/>
      <c r="AZ26" s="147"/>
      <c r="BA26" s="147"/>
      <c r="BB26" s="147"/>
      <c r="BC26" s="147"/>
      <c r="BD26" s="147"/>
      <c r="BE26" s="147"/>
      <c r="BF26" s="147"/>
      <c r="BG26" s="147"/>
      <c r="BH26" s="147"/>
      <c r="BI26" s="147"/>
      <c r="BJ26" s="147"/>
      <c r="BK26" s="147"/>
      <c r="BL26" s="147"/>
      <c r="BM26" s="147"/>
      <c r="BN26" s="147"/>
      <c r="BO26" s="147"/>
      <c r="BP26" s="147"/>
      <c r="BQ26" s="147"/>
      <c r="BR26" s="147"/>
      <c r="BS26" s="147"/>
      <c r="BT26" s="147"/>
      <c r="BU26" s="147"/>
      <c r="BV26" s="147"/>
      <c r="BW26" s="147"/>
      <c r="BX26" s="147"/>
      <c r="BY26" s="147"/>
      <c r="BZ26" s="147"/>
      <c r="CA26" s="147"/>
      <c r="CB26" s="147"/>
      <c r="CC26" s="147"/>
      <c r="CD26" s="147"/>
      <c r="CE26" s="147"/>
      <c r="CF26" s="147"/>
      <c r="CG26" s="147"/>
      <c r="CH26" s="147"/>
      <c r="CI26" s="147"/>
      <c r="CJ26" s="147"/>
      <c r="CK26" s="147"/>
      <c r="CL26" s="147"/>
      <c r="CM26" s="147"/>
      <c r="CN26" s="147"/>
      <c r="CO26" s="147"/>
      <c r="CP26" s="147"/>
      <c r="CQ26" s="147"/>
      <c r="CR26" s="147"/>
      <c r="CS26" s="147"/>
      <c r="CT26" s="147"/>
      <c r="CU26" s="147"/>
      <c r="CV26" s="147"/>
      <c r="CW26" s="147"/>
      <c r="CX26" s="147"/>
      <c r="CY26" s="147"/>
      <c r="CZ26" s="147"/>
      <c r="DA26" s="147"/>
      <c r="DB26" s="147"/>
      <c r="DC26" s="147"/>
      <c r="DD26" s="147"/>
      <c r="DE26" s="147"/>
      <c r="DF26" s="147"/>
      <c r="DG26" s="147"/>
      <c r="DH26" s="147"/>
      <c r="DI26" s="147"/>
      <c r="DJ26" s="147"/>
      <c r="DK26" s="147"/>
      <c r="DL26" s="147"/>
      <c r="DM26" s="147"/>
      <c r="DN26" s="147"/>
      <c r="DO26" s="147"/>
      <c r="DP26" s="147"/>
      <c r="DQ26" s="147"/>
      <c r="DR26" s="147"/>
      <c r="DS26" s="147"/>
      <c r="DT26" s="147"/>
      <c r="DU26" s="147"/>
      <c r="DV26" s="147"/>
      <c r="DW26" s="147"/>
      <c r="DX26" s="147"/>
      <c r="DY26" s="147"/>
      <c r="DZ26" s="147"/>
      <c r="EA26" s="147"/>
      <c r="EB26" s="147"/>
      <c r="EC26" s="147"/>
      <c r="ED26" s="147"/>
      <c r="EE26" s="147"/>
      <c r="EF26" s="147"/>
      <c r="EG26" s="147"/>
      <c r="EH26" s="147"/>
      <c r="EI26" s="147"/>
      <c r="EJ26" s="147"/>
      <c r="EK26" s="147"/>
      <c r="EL26" s="147"/>
      <c r="EM26" s="147"/>
      <c r="EN26" s="147"/>
      <c r="EO26" s="147"/>
      <c r="EP26" s="147"/>
      <c r="EQ26" s="147"/>
      <c r="ER26" s="147"/>
      <c r="ES26" s="147"/>
      <c r="ET26" s="147"/>
    </row>
    <row r="27" spans="1:273" ht="13.5">
      <c r="A27" s="147" t="s">
        <v>158</v>
      </c>
      <c r="B27" s="147">
        <v>270828000</v>
      </c>
      <c r="C27" s="147">
        <v>0</v>
      </c>
      <c r="D27" s="147">
        <v>22500000</v>
      </c>
      <c r="E27" s="147">
        <v>22500000</v>
      </c>
      <c r="F27" s="147">
        <v>112914000</v>
      </c>
      <c r="G27" s="147">
        <v>112914000</v>
      </c>
      <c r="H27" s="147">
        <v>112914000</v>
      </c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  <c r="AJ27" s="147"/>
      <c r="AK27" s="147"/>
      <c r="AL27" s="147"/>
      <c r="AM27" s="147"/>
      <c r="AN27" s="147"/>
      <c r="AO27" s="147"/>
      <c r="AP27" s="147"/>
      <c r="AQ27" s="147"/>
      <c r="AR27" s="147"/>
      <c r="AS27" s="147"/>
      <c r="AT27" s="147"/>
      <c r="AU27" s="147"/>
      <c r="AV27" s="147"/>
      <c r="AW27" s="147"/>
      <c r="AX27" s="147"/>
      <c r="AY27" s="147"/>
      <c r="AZ27" s="147"/>
      <c r="BA27" s="147"/>
      <c r="BB27" s="147"/>
      <c r="BC27" s="147"/>
      <c r="BD27" s="147"/>
      <c r="BE27" s="147"/>
      <c r="BF27" s="147"/>
      <c r="BG27" s="147"/>
      <c r="BH27" s="147"/>
      <c r="BI27" s="147"/>
      <c r="BJ27" s="147"/>
      <c r="BK27" s="147"/>
      <c r="BL27" s="147"/>
      <c r="BM27" s="147"/>
      <c r="BN27" s="147"/>
      <c r="BO27" s="147"/>
      <c r="BP27" s="147"/>
      <c r="BQ27" s="147"/>
      <c r="BR27" s="147"/>
      <c r="BS27" s="147"/>
      <c r="BT27" s="147"/>
      <c r="BU27" s="147"/>
      <c r="BV27" s="147"/>
      <c r="BW27" s="147"/>
      <c r="BX27" s="147"/>
      <c r="BY27" s="147"/>
      <c r="BZ27" s="147"/>
      <c r="CA27" s="147"/>
      <c r="CB27" s="147"/>
      <c r="CC27" s="147"/>
      <c r="CD27" s="147"/>
      <c r="CE27" s="147"/>
      <c r="CF27" s="147"/>
      <c r="CG27" s="147"/>
      <c r="CH27" s="147"/>
      <c r="CI27" s="147"/>
      <c r="CJ27" s="147"/>
      <c r="CK27" s="147"/>
      <c r="CL27" s="147"/>
      <c r="CM27" s="147"/>
      <c r="CN27" s="147"/>
      <c r="CO27" s="147"/>
      <c r="CP27" s="147"/>
      <c r="CQ27" s="147"/>
      <c r="CR27" s="147"/>
      <c r="CS27" s="147"/>
      <c r="CT27" s="147"/>
      <c r="CU27" s="147"/>
      <c r="CV27" s="147"/>
      <c r="CW27" s="147"/>
      <c r="CX27" s="147"/>
      <c r="CY27" s="147"/>
      <c r="CZ27" s="147"/>
      <c r="DA27" s="147"/>
      <c r="DB27" s="147"/>
      <c r="DC27" s="147"/>
      <c r="DD27" s="147"/>
      <c r="DE27" s="147"/>
      <c r="DF27" s="147"/>
      <c r="DG27" s="147"/>
      <c r="DH27" s="147"/>
      <c r="DI27" s="147"/>
      <c r="DJ27" s="147"/>
      <c r="DK27" s="147"/>
      <c r="DL27" s="147"/>
      <c r="DM27" s="147"/>
      <c r="DN27" s="147"/>
      <c r="DO27" s="147"/>
      <c r="DP27" s="147"/>
      <c r="DQ27" s="147"/>
      <c r="DR27" s="147"/>
      <c r="DS27" s="147"/>
      <c r="DT27" s="147"/>
      <c r="DU27" s="147"/>
      <c r="DV27" s="147"/>
      <c r="DW27" s="147"/>
      <c r="DX27" s="147"/>
      <c r="DY27" s="147"/>
      <c r="DZ27" s="147"/>
      <c r="EA27" s="147"/>
      <c r="EB27" s="147"/>
      <c r="EC27" s="147"/>
      <c r="ED27" s="147"/>
      <c r="EE27" s="147"/>
      <c r="EF27" s="147"/>
      <c r="EG27" s="147"/>
      <c r="EH27" s="147"/>
      <c r="EI27" s="147"/>
      <c r="EJ27" s="147"/>
      <c r="EK27" s="147"/>
      <c r="EL27" s="147"/>
      <c r="EM27" s="147"/>
      <c r="EN27" s="147"/>
      <c r="EO27" s="147"/>
      <c r="EP27" s="147"/>
      <c r="EQ27" s="147"/>
      <c r="ER27" s="147"/>
      <c r="ES27" s="147"/>
      <c r="ET27" s="147"/>
    </row>
    <row r="28" spans="1:273" ht="13.5">
      <c r="A28" s="147" t="s">
        <v>160</v>
      </c>
      <c r="B28" s="147">
        <v>35100000</v>
      </c>
      <c r="C28" s="147">
        <v>0</v>
      </c>
      <c r="D28" s="147">
        <v>0</v>
      </c>
      <c r="E28" s="147">
        <v>11700000</v>
      </c>
      <c r="F28" s="147">
        <v>11700000</v>
      </c>
      <c r="G28" s="147">
        <v>11700000</v>
      </c>
      <c r="H28" s="147">
        <v>11700000</v>
      </c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  <c r="AJ28" s="147"/>
      <c r="AK28" s="147"/>
      <c r="AL28" s="147"/>
      <c r="AM28" s="147"/>
      <c r="AN28" s="147"/>
      <c r="AO28" s="147"/>
      <c r="AP28" s="147"/>
      <c r="AQ28" s="147"/>
      <c r="AR28" s="147"/>
      <c r="AS28" s="147"/>
      <c r="AT28" s="147"/>
      <c r="AU28" s="147"/>
      <c r="AV28" s="147"/>
      <c r="AW28" s="147"/>
      <c r="AX28" s="147"/>
      <c r="AY28" s="147"/>
      <c r="AZ28" s="147"/>
      <c r="BA28" s="147"/>
      <c r="BB28" s="147"/>
      <c r="BC28" s="147"/>
      <c r="BD28" s="147"/>
      <c r="BE28" s="147"/>
      <c r="BF28" s="147"/>
      <c r="BG28" s="147"/>
      <c r="BH28" s="147"/>
      <c r="BI28" s="147"/>
      <c r="BJ28" s="147"/>
      <c r="BK28" s="147"/>
      <c r="BL28" s="147"/>
      <c r="BM28" s="147"/>
      <c r="BN28" s="147"/>
      <c r="BO28" s="147"/>
      <c r="BP28" s="147"/>
      <c r="BQ28" s="147"/>
      <c r="BR28" s="147"/>
      <c r="BS28" s="147"/>
      <c r="BT28" s="147"/>
      <c r="BU28" s="147"/>
      <c r="BV28" s="147"/>
      <c r="BW28" s="147"/>
      <c r="BX28" s="147"/>
      <c r="BY28" s="147"/>
      <c r="BZ28" s="147"/>
      <c r="CA28" s="147"/>
      <c r="CB28" s="147"/>
      <c r="CC28" s="147"/>
      <c r="CD28" s="147"/>
      <c r="CE28" s="147"/>
      <c r="CF28" s="147"/>
      <c r="CG28" s="147"/>
      <c r="CH28" s="147"/>
      <c r="CI28" s="147"/>
      <c r="CJ28" s="147"/>
      <c r="CK28" s="147"/>
      <c r="CL28" s="147"/>
      <c r="CM28" s="147"/>
      <c r="CN28" s="147"/>
      <c r="CO28" s="147"/>
      <c r="CP28" s="147"/>
      <c r="CQ28" s="147"/>
      <c r="CR28" s="147"/>
      <c r="CS28" s="147"/>
      <c r="CT28" s="147"/>
      <c r="CU28" s="147"/>
      <c r="CV28" s="147"/>
      <c r="CW28" s="147"/>
      <c r="CX28" s="147"/>
      <c r="CY28" s="147"/>
      <c r="CZ28" s="147"/>
      <c r="DA28" s="147"/>
      <c r="DB28" s="147"/>
      <c r="DC28" s="147"/>
      <c r="DD28" s="147"/>
      <c r="DE28" s="147"/>
      <c r="DF28" s="147"/>
      <c r="DG28" s="147"/>
      <c r="DH28" s="147"/>
      <c r="DI28" s="147"/>
      <c r="DJ28" s="147"/>
      <c r="DK28" s="147"/>
      <c r="DL28" s="147"/>
      <c r="DM28" s="147"/>
      <c r="DN28" s="147"/>
      <c r="DO28" s="147"/>
      <c r="DP28" s="147"/>
      <c r="DQ28" s="147"/>
      <c r="DR28" s="147"/>
      <c r="DS28" s="147"/>
      <c r="DT28" s="147"/>
      <c r="DU28" s="147"/>
      <c r="DV28" s="147"/>
      <c r="DW28" s="147"/>
      <c r="DX28" s="147"/>
      <c r="DY28" s="147"/>
      <c r="DZ28" s="147"/>
      <c r="EA28" s="147"/>
      <c r="EB28" s="147"/>
      <c r="EC28" s="147"/>
      <c r="ED28" s="147"/>
      <c r="EE28" s="147"/>
      <c r="EF28" s="147"/>
      <c r="EG28" s="147"/>
      <c r="EH28" s="147"/>
      <c r="EI28" s="147"/>
      <c r="EJ28" s="147"/>
      <c r="EK28" s="147"/>
      <c r="EL28" s="147"/>
      <c r="EM28" s="147"/>
      <c r="EN28" s="147"/>
      <c r="EO28" s="147"/>
      <c r="EP28" s="147"/>
      <c r="EQ28" s="147"/>
      <c r="ER28" s="147"/>
      <c r="ES28" s="147"/>
      <c r="ET28" s="147"/>
    </row>
    <row r="29" spans="1:273" ht="13.5">
      <c r="A29" s="147" t="s">
        <v>213</v>
      </c>
      <c r="B29" s="147">
        <v>2250072000</v>
      </c>
      <c r="C29" s="147">
        <v>2250072000</v>
      </c>
      <c r="D29" s="147">
        <v>0</v>
      </c>
      <c r="E29" s="147">
        <v>0</v>
      </c>
      <c r="F29" s="147">
        <v>0</v>
      </c>
      <c r="G29" s="147">
        <v>0</v>
      </c>
      <c r="H29" s="147">
        <v>0</v>
      </c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7"/>
      <c r="AN29" s="147"/>
      <c r="AO29" s="147"/>
      <c r="AP29" s="147"/>
      <c r="AQ29" s="147"/>
      <c r="AR29" s="147"/>
      <c r="AS29" s="147"/>
      <c r="AT29" s="147"/>
      <c r="AU29" s="147"/>
      <c r="AV29" s="147"/>
      <c r="AW29" s="147"/>
      <c r="AX29" s="147"/>
      <c r="AY29" s="147"/>
      <c r="AZ29" s="147"/>
      <c r="BA29" s="147"/>
      <c r="BB29" s="147"/>
      <c r="BC29" s="147"/>
      <c r="BD29" s="147"/>
      <c r="BE29" s="147"/>
      <c r="BF29" s="147"/>
      <c r="BG29" s="147"/>
      <c r="BH29" s="147"/>
      <c r="BI29" s="147"/>
      <c r="BJ29" s="147"/>
      <c r="BK29" s="147"/>
      <c r="BL29" s="147"/>
      <c r="BM29" s="147"/>
      <c r="BN29" s="147"/>
      <c r="BO29" s="147"/>
      <c r="BP29" s="147"/>
      <c r="BQ29" s="147"/>
      <c r="BR29" s="147"/>
      <c r="BS29" s="147"/>
      <c r="BT29" s="147"/>
      <c r="BU29" s="147"/>
      <c r="BV29" s="147"/>
      <c r="BW29" s="147"/>
      <c r="BX29" s="147"/>
      <c r="BY29" s="147"/>
      <c r="BZ29" s="147"/>
      <c r="CA29" s="147"/>
      <c r="CB29" s="147"/>
      <c r="CC29" s="147"/>
      <c r="CD29" s="147"/>
      <c r="CE29" s="147"/>
      <c r="CF29" s="147"/>
      <c r="CG29" s="147"/>
      <c r="CH29" s="147"/>
      <c r="CI29" s="147"/>
      <c r="CJ29" s="147"/>
      <c r="CK29" s="147"/>
      <c r="CL29" s="147"/>
      <c r="CM29" s="147"/>
      <c r="CN29" s="147"/>
      <c r="CO29" s="147"/>
      <c r="CP29" s="147"/>
      <c r="CQ29" s="147"/>
      <c r="CR29" s="147"/>
      <c r="CS29" s="147"/>
      <c r="CT29" s="147"/>
      <c r="CU29" s="147"/>
      <c r="CV29" s="147"/>
      <c r="CW29" s="147"/>
      <c r="CX29" s="147"/>
      <c r="CY29" s="147"/>
      <c r="CZ29" s="147"/>
      <c r="DA29" s="147"/>
      <c r="DB29" s="147"/>
      <c r="DC29" s="147"/>
      <c r="DD29" s="147"/>
      <c r="DE29" s="147"/>
      <c r="DF29" s="147"/>
      <c r="DG29" s="147"/>
      <c r="DH29" s="147"/>
      <c r="DI29" s="147"/>
      <c r="DJ29" s="147"/>
      <c r="DK29" s="147"/>
      <c r="DL29" s="147"/>
      <c r="DM29" s="147"/>
      <c r="DN29" s="147"/>
      <c r="DO29" s="147"/>
      <c r="DP29" s="147"/>
      <c r="DQ29" s="147"/>
      <c r="DR29" s="147"/>
      <c r="DS29" s="147"/>
      <c r="DT29" s="147"/>
      <c r="DU29" s="147"/>
      <c r="DV29" s="147"/>
      <c r="DW29" s="147"/>
      <c r="DX29" s="147"/>
      <c r="DY29" s="147"/>
      <c r="DZ29" s="147"/>
      <c r="EA29" s="147"/>
      <c r="EB29" s="147"/>
      <c r="EC29" s="147"/>
      <c r="ED29" s="147"/>
      <c r="EE29" s="147"/>
      <c r="EF29" s="147"/>
      <c r="EG29" s="147"/>
      <c r="EH29" s="147"/>
      <c r="EI29" s="147"/>
      <c r="EJ29" s="147"/>
      <c r="EK29" s="147"/>
      <c r="EL29" s="147"/>
      <c r="EM29" s="147"/>
      <c r="EN29" s="147"/>
      <c r="EO29" s="147"/>
      <c r="EP29" s="147"/>
      <c r="EQ29" s="147"/>
      <c r="ER29" s="147"/>
      <c r="ES29" s="147"/>
      <c r="ET29" s="147"/>
    </row>
    <row r="30" spans="1:273" ht="13.5">
      <c r="A30" s="147" t="s">
        <v>19</v>
      </c>
      <c r="B30" s="147">
        <v>3856213500</v>
      </c>
      <c r="C30" s="147">
        <v>2467992000</v>
      </c>
      <c r="D30" s="147">
        <v>240420000</v>
      </c>
      <c r="E30" s="147">
        <v>322324500</v>
      </c>
      <c r="F30" s="147">
        <v>412738500</v>
      </c>
      <c r="G30" s="147">
        <v>412738500</v>
      </c>
      <c r="H30" s="147">
        <v>687997500</v>
      </c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47"/>
      <c r="AQ30" s="147"/>
      <c r="AR30" s="147"/>
      <c r="AS30" s="147"/>
      <c r="AT30" s="147"/>
      <c r="AU30" s="147"/>
      <c r="AV30" s="147"/>
      <c r="AW30" s="147"/>
      <c r="AX30" s="147"/>
      <c r="AY30" s="147"/>
      <c r="AZ30" s="147"/>
      <c r="BA30" s="147"/>
      <c r="BB30" s="147"/>
      <c r="BC30" s="147"/>
      <c r="BD30" s="147"/>
      <c r="BE30" s="147"/>
      <c r="BF30" s="147"/>
      <c r="BG30" s="147"/>
      <c r="BH30" s="147"/>
      <c r="BI30" s="147"/>
      <c r="BJ30" s="147"/>
      <c r="BK30" s="147"/>
      <c r="BL30" s="147"/>
      <c r="BM30" s="147"/>
      <c r="BN30" s="147"/>
      <c r="BO30" s="147"/>
      <c r="BP30" s="147"/>
      <c r="BQ30" s="147"/>
      <c r="BR30" s="147"/>
      <c r="BS30" s="147"/>
      <c r="BT30" s="147"/>
      <c r="BU30" s="147"/>
      <c r="BV30" s="147"/>
      <c r="BW30" s="147"/>
      <c r="BX30" s="147"/>
      <c r="BY30" s="147"/>
      <c r="BZ30" s="147"/>
      <c r="CA30" s="147"/>
      <c r="CB30" s="147"/>
      <c r="CC30" s="147"/>
      <c r="CD30" s="147"/>
      <c r="CE30" s="147"/>
      <c r="CF30" s="147"/>
      <c r="CG30" s="147"/>
      <c r="CH30" s="147"/>
      <c r="CI30" s="147"/>
      <c r="CJ30" s="147"/>
      <c r="CK30" s="147"/>
      <c r="CL30" s="147"/>
      <c r="CM30" s="147"/>
      <c r="CN30" s="147"/>
      <c r="CO30" s="147"/>
      <c r="CP30" s="147"/>
      <c r="CQ30" s="147"/>
      <c r="CR30" s="147"/>
      <c r="CS30" s="147"/>
      <c r="CT30" s="147"/>
      <c r="CU30" s="147"/>
      <c r="CV30" s="147"/>
      <c r="CW30" s="147"/>
      <c r="CX30" s="147"/>
      <c r="CY30" s="147"/>
      <c r="CZ30" s="147"/>
      <c r="DA30" s="147"/>
      <c r="DB30" s="147"/>
      <c r="DC30" s="147"/>
      <c r="DD30" s="147"/>
      <c r="DE30" s="147"/>
      <c r="DF30" s="147"/>
      <c r="DG30" s="147"/>
      <c r="DH30" s="147"/>
      <c r="DI30" s="147"/>
      <c r="DJ30" s="147"/>
      <c r="DK30" s="147"/>
      <c r="DL30" s="147"/>
      <c r="DM30" s="147"/>
      <c r="DN30" s="147"/>
      <c r="DO30" s="147"/>
      <c r="DP30" s="147"/>
      <c r="DQ30" s="147"/>
      <c r="DR30" s="147"/>
      <c r="DS30" s="147"/>
      <c r="DT30" s="147"/>
      <c r="DU30" s="147"/>
      <c r="DV30" s="147"/>
      <c r="DW30" s="147"/>
      <c r="DX30" s="147"/>
      <c r="DY30" s="147"/>
      <c r="DZ30" s="147"/>
      <c r="EA30" s="147"/>
      <c r="EB30" s="147"/>
      <c r="EC30" s="147"/>
      <c r="ED30" s="147"/>
      <c r="EE30" s="147"/>
      <c r="EF30" s="147"/>
      <c r="EG30" s="147"/>
      <c r="EH30" s="147"/>
      <c r="EI30" s="147"/>
      <c r="EJ30" s="147"/>
      <c r="EK30" s="147"/>
      <c r="EL30" s="147"/>
      <c r="EM30" s="147"/>
      <c r="EN30" s="147"/>
      <c r="EO30" s="147"/>
      <c r="EP30" s="147"/>
      <c r="EQ30" s="147"/>
      <c r="ER30" s="147"/>
      <c r="ES30" s="147"/>
      <c r="ET30" s="147"/>
    </row>
    <row r="31" spans="1:27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</row>
    <row r="32" spans="1:273">
      <c r="A32" s="150">
        <v>2026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151"/>
      <c r="AO32" s="151"/>
      <c r="AP32" s="151"/>
      <c r="AQ32" s="151"/>
      <c r="AR32" s="151"/>
      <c r="AS32" s="151"/>
      <c r="AT32" s="151"/>
      <c r="AU32" s="151"/>
      <c r="AV32" s="151"/>
      <c r="AW32" s="151"/>
      <c r="AX32" s="151"/>
      <c r="AY32" s="151"/>
      <c r="AZ32" s="151"/>
      <c r="BA32" s="151"/>
      <c r="BB32" s="151"/>
      <c r="BC32" s="151"/>
      <c r="BD32" s="151"/>
      <c r="BE32" s="151"/>
      <c r="BF32" s="151"/>
      <c r="BG32" s="151"/>
      <c r="BH32" s="151"/>
      <c r="BI32" s="151"/>
      <c r="BJ32" s="151"/>
      <c r="BK32" s="151"/>
      <c r="BL32" s="151"/>
      <c r="BM32" s="151"/>
      <c r="BN32" s="151"/>
      <c r="BO32" s="151"/>
      <c r="BP32" s="151"/>
      <c r="BQ32" s="151"/>
      <c r="BR32" s="151"/>
      <c r="BS32" s="151"/>
      <c r="BT32" s="151"/>
      <c r="BU32" s="151"/>
      <c r="BV32" s="151"/>
      <c r="BW32" s="151"/>
      <c r="BX32" s="151"/>
      <c r="BY32" s="151"/>
      <c r="BZ32" s="151"/>
      <c r="CA32" s="151"/>
      <c r="CB32" s="151"/>
      <c r="CC32" s="151"/>
      <c r="CD32" s="151"/>
      <c r="CE32" s="151"/>
      <c r="CF32" s="151"/>
      <c r="CG32" s="151"/>
      <c r="CH32" s="151"/>
      <c r="CI32" s="151"/>
      <c r="CJ32" s="151"/>
      <c r="CK32" s="151"/>
      <c r="CL32" s="151"/>
      <c r="CM32" s="151"/>
      <c r="CN32" s="151"/>
      <c r="CO32" s="151"/>
      <c r="CP32" s="151"/>
      <c r="CQ32" s="151"/>
      <c r="CR32" s="151"/>
      <c r="CS32" s="151"/>
      <c r="CT32" s="151"/>
      <c r="CU32" s="151"/>
      <c r="CV32" s="151"/>
      <c r="CW32" s="151"/>
      <c r="CX32" s="151"/>
      <c r="CY32" s="151"/>
      <c r="CZ32" s="151"/>
      <c r="DA32" s="151"/>
      <c r="DB32" s="151"/>
      <c r="DC32" s="151"/>
      <c r="DD32" s="151"/>
      <c r="DE32" s="151"/>
      <c r="DF32" s="151"/>
      <c r="DG32" s="151"/>
      <c r="DH32" s="151"/>
      <c r="DI32" s="151"/>
      <c r="DJ32" s="151"/>
      <c r="DK32" s="151"/>
      <c r="DL32" s="151"/>
      <c r="DM32" s="151"/>
      <c r="DN32" s="151"/>
      <c r="DO32" s="151"/>
      <c r="DP32" s="151"/>
      <c r="DQ32" s="151"/>
      <c r="DR32" s="151"/>
      <c r="DS32" s="151"/>
      <c r="DT32" s="151"/>
      <c r="DU32" s="151"/>
      <c r="DV32" s="151"/>
      <c r="DW32" s="151"/>
      <c r="DX32" s="151"/>
      <c r="DY32" s="151"/>
      <c r="DZ32" s="151"/>
      <c r="EA32" s="151"/>
      <c r="EB32" s="151"/>
      <c r="EC32" s="151"/>
      <c r="ED32" s="151"/>
      <c r="EE32" s="151"/>
      <c r="EF32" s="151"/>
      <c r="EG32" s="151"/>
      <c r="EH32" s="151"/>
      <c r="EI32" s="151"/>
      <c r="EJ32" s="151"/>
      <c r="EK32" s="151"/>
      <c r="EL32" s="151"/>
      <c r="EM32" s="151"/>
      <c r="EN32" s="151"/>
      <c r="EO32" s="151"/>
      <c r="EP32" s="151"/>
      <c r="EQ32" s="151"/>
      <c r="ER32" s="151"/>
      <c r="ES32" s="151"/>
      <c r="ET32" s="151"/>
    </row>
    <row r="33" spans="1:150">
      <c r="A33" s="117" t="s">
        <v>1</v>
      </c>
      <c r="B33" s="117" t="s">
        <v>19</v>
      </c>
      <c r="C33" s="117" t="s">
        <v>204</v>
      </c>
      <c r="D33" s="117" t="s">
        <v>205</v>
      </c>
      <c r="E33" s="117" t="s">
        <v>206</v>
      </c>
      <c r="F33" s="117" t="s">
        <v>207</v>
      </c>
      <c r="G33" s="117" t="s">
        <v>208</v>
      </c>
      <c r="H33" s="117" t="s">
        <v>209</v>
      </c>
      <c r="I33" s="117" t="s">
        <v>210</v>
      </c>
      <c r="J33" s="117" t="s">
        <v>211</v>
      </c>
      <c r="K33" s="117" t="s">
        <v>212</v>
      </c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7"/>
      <c r="AQ33" s="117"/>
      <c r="AR33" s="117"/>
      <c r="AS33" s="117"/>
      <c r="AT33" s="117"/>
      <c r="AU33" s="117"/>
      <c r="AV33" s="117"/>
      <c r="AW33" s="117"/>
      <c r="AX33" s="117"/>
      <c r="AY33" s="117"/>
      <c r="AZ33" s="117"/>
      <c r="BA33" s="117"/>
      <c r="BB33" s="117"/>
      <c r="BC33" s="117"/>
      <c r="BD33" s="117"/>
      <c r="BE33" s="117"/>
      <c r="BF33" s="117"/>
      <c r="BG33" s="117"/>
      <c r="BH33" s="117"/>
      <c r="BI33" s="117"/>
      <c r="BJ33" s="117"/>
      <c r="BK33" s="117"/>
      <c r="BL33" s="117"/>
      <c r="BM33" s="117"/>
      <c r="BN33" s="117"/>
      <c r="BO33" s="117"/>
      <c r="BP33" s="117"/>
      <c r="BQ33" s="117"/>
      <c r="BR33" s="117"/>
      <c r="BS33" s="117"/>
      <c r="BT33" s="117"/>
      <c r="BU33" s="117"/>
      <c r="BV33" s="117"/>
      <c r="BW33" s="117"/>
      <c r="BX33" s="117"/>
      <c r="BY33" s="117"/>
      <c r="BZ33" s="117"/>
      <c r="CA33" s="117"/>
      <c r="CB33" s="117"/>
      <c r="CC33" s="117"/>
      <c r="CD33" s="117"/>
      <c r="CE33" s="117"/>
      <c r="CF33" s="117"/>
      <c r="CG33" s="117"/>
      <c r="CH33" s="117"/>
      <c r="CI33" s="117"/>
      <c r="CJ33" s="117"/>
      <c r="CK33" s="117"/>
      <c r="CL33" s="117"/>
      <c r="CM33" s="117"/>
      <c r="CN33" s="117"/>
      <c r="CO33" s="117"/>
      <c r="CP33" s="117"/>
      <c r="CQ33" s="117"/>
      <c r="CR33" s="117"/>
      <c r="CS33" s="117"/>
      <c r="CT33" s="117"/>
      <c r="CU33" s="117"/>
      <c r="CV33" s="117"/>
      <c r="CW33" s="117"/>
      <c r="CX33" s="117"/>
      <c r="CY33" s="117"/>
      <c r="CZ33" s="117"/>
      <c r="DA33" s="117"/>
      <c r="DB33" s="117"/>
      <c r="DC33" s="117"/>
      <c r="DD33" s="117"/>
      <c r="DE33" s="117"/>
      <c r="DF33" s="117"/>
      <c r="DG33" s="117"/>
      <c r="DH33" s="117"/>
      <c r="DI33" s="117"/>
      <c r="DJ33" s="117"/>
      <c r="DK33" s="117"/>
      <c r="DL33" s="117"/>
      <c r="DM33" s="117"/>
      <c r="DN33" s="117"/>
      <c r="DO33" s="117"/>
      <c r="DP33" s="117"/>
      <c r="DQ33" s="117"/>
      <c r="DR33" s="117"/>
      <c r="DS33" s="117"/>
      <c r="DT33" s="117"/>
      <c r="DU33" s="117"/>
      <c r="DV33" s="117"/>
      <c r="DW33" s="117"/>
      <c r="DX33" s="117"/>
      <c r="DY33" s="117"/>
      <c r="DZ33" s="117"/>
      <c r="EA33" s="117"/>
      <c r="EB33" s="117"/>
      <c r="EC33" s="117"/>
      <c r="ED33" s="117"/>
      <c r="EE33" s="117"/>
      <c r="EF33" s="117"/>
      <c r="EG33" s="117"/>
      <c r="EH33" s="117"/>
      <c r="EI33" s="117"/>
      <c r="EJ33" s="117"/>
      <c r="EK33" s="117"/>
      <c r="EL33" s="117"/>
      <c r="EM33" s="117"/>
      <c r="EN33" s="117"/>
      <c r="EO33" s="117"/>
      <c r="EP33" s="117"/>
      <c r="EQ33" s="117"/>
      <c r="ER33" s="117"/>
      <c r="ES33" s="117"/>
      <c r="ET33" s="117"/>
    </row>
    <row r="34" spans="1:150" ht="13.5">
      <c r="A34" s="147" t="s">
        <v>10</v>
      </c>
      <c r="B34" s="147">
        <v>217920000</v>
      </c>
      <c r="C34" s="147">
        <v>217920000</v>
      </c>
      <c r="D34" s="147">
        <v>0</v>
      </c>
      <c r="E34" s="147">
        <v>0</v>
      </c>
      <c r="F34" s="147">
        <v>0</v>
      </c>
      <c r="G34" s="147">
        <v>0</v>
      </c>
      <c r="H34" s="147">
        <v>0</v>
      </c>
      <c r="I34" s="147">
        <v>0</v>
      </c>
      <c r="J34" s="147">
        <v>0</v>
      </c>
      <c r="K34" s="147">
        <v>0</v>
      </c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  <c r="AO34" s="147"/>
      <c r="AP34" s="147"/>
      <c r="AQ34" s="147"/>
      <c r="AR34" s="147"/>
      <c r="AS34" s="147"/>
      <c r="AT34" s="147"/>
      <c r="AU34" s="147"/>
      <c r="AV34" s="147"/>
      <c r="AW34" s="147"/>
      <c r="AX34" s="147"/>
      <c r="AY34" s="147"/>
      <c r="AZ34" s="147"/>
      <c r="BA34" s="147"/>
      <c r="BB34" s="147"/>
      <c r="BC34" s="147"/>
      <c r="BD34" s="147"/>
      <c r="BE34" s="147"/>
      <c r="BF34" s="147"/>
      <c r="BG34" s="147"/>
      <c r="BH34" s="147"/>
      <c r="BI34" s="147"/>
      <c r="BJ34" s="147"/>
      <c r="BK34" s="147"/>
      <c r="BL34" s="147"/>
      <c r="BM34" s="147"/>
      <c r="BN34" s="147"/>
      <c r="BO34" s="147"/>
      <c r="BP34" s="147"/>
      <c r="BQ34" s="147"/>
      <c r="BR34" s="147"/>
      <c r="BS34" s="147"/>
      <c r="BT34" s="147"/>
      <c r="BU34" s="147"/>
      <c r="BV34" s="147"/>
      <c r="BW34" s="147"/>
      <c r="BX34" s="147"/>
      <c r="BY34" s="147"/>
      <c r="BZ34" s="147"/>
      <c r="CA34" s="147"/>
      <c r="CB34" s="147"/>
      <c r="CC34" s="147"/>
      <c r="CD34" s="147"/>
      <c r="CE34" s="147"/>
      <c r="CF34" s="147"/>
      <c r="CG34" s="147"/>
      <c r="CH34" s="147"/>
      <c r="CI34" s="147"/>
      <c r="CJ34" s="147"/>
      <c r="CK34" s="147"/>
      <c r="CL34" s="147"/>
      <c r="CM34" s="147"/>
      <c r="CN34" s="147"/>
      <c r="CO34" s="147"/>
      <c r="CP34" s="147"/>
      <c r="CQ34" s="147"/>
      <c r="CR34" s="147"/>
      <c r="CS34" s="147"/>
      <c r="CT34" s="147"/>
      <c r="CU34" s="147"/>
      <c r="CV34" s="147"/>
      <c r="CW34" s="147"/>
      <c r="CX34" s="147"/>
      <c r="CY34" s="147"/>
      <c r="CZ34" s="147"/>
      <c r="DA34" s="147"/>
      <c r="DB34" s="147"/>
      <c r="DC34" s="147"/>
      <c r="DD34" s="147"/>
      <c r="DE34" s="147"/>
      <c r="DF34" s="147"/>
      <c r="DG34" s="147"/>
      <c r="DH34" s="147"/>
      <c r="DI34" s="147"/>
      <c r="DJ34" s="147"/>
      <c r="DK34" s="147"/>
      <c r="DL34" s="147"/>
      <c r="DM34" s="147"/>
      <c r="DN34" s="147"/>
      <c r="DO34" s="147"/>
      <c r="DP34" s="147"/>
      <c r="DQ34" s="147"/>
      <c r="DR34" s="147"/>
      <c r="DS34" s="147"/>
      <c r="DT34" s="147"/>
      <c r="DU34" s="147"/>
      <c r="DV34" s="147"/>
      <c r="DW34" s="147"/>
      <c r="DX34" s="147"/>
      <c r="DY34" s="147"/>
      <c r="DZ34" s="147"/>
      <c r="EA34" s="147"/>
      <c r="EB34" s="147"/>
      <c r="EC34" s="147"/>
      <c r="ED34" s="147"/>
      <c r="EE34" s="147"/>
      <c r="EF34" s="147"/>
      <c r="EG34" s="147"/>
      <c r="EH34" s="147"/>
      <c r="EI34" s="147"/>
      <c r="EJ34" s="147"/>
      <c r="EK34" s="147"/>
      <c r="EL34" s="147"/>
      <c r="EM34" s="147"/>
      <c r="EN34" s="147"/>
      <c r="EO34" s="147"/>
      <c r="EP34" s="147"/>
      <c r="EQ34" s="147"/>
      <c r="ER34" s="147"/>
      <c r="ES34" s="147"/>
      <c r="ET34" s="147"/>
    </row>
    <row r="35" spans="1:150" ht="13.5">
      <c r="A35" s="147" t="s">
        <v>13</v>
      </c>
      <c r="B35" s="147">
        <v>631840500</v>
      </c>
      <c r="C35" s="147">
        <v>70204500</v>
      </c>
      <c r="D35" s="147">
        <v>70204500</v>
      </c>
      <c r="E35" s="147">
        <v>70204500</v>
      </c>
      <c r="F35" s="147">
        <v>70204500</v>
      </c>
      <c r="G35" s="147">
        <v>70204500</v>
      </c>
      <c r="H35" s="147">
        <v>70204500</v>
      </c>
      <c r="I35" s="147">
        <v>70204500</v>
      </c>
      <c r="J35" s="147">
        <v>70204500</v>
      </c>
      <c r="K35" s="147">
        <v>70204500</v>
      </c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47"/>
      <c r="BF35" s="147"/>
      <c r="BG35" s="147"/>
      <c r="BH35" s="147"/>
      <c r="BI35" s="147"/>
      <c r="BJ35" s="147"/>
      <c r="BK35" s="147"/>
      <c r="BL35" s="147"/>
      <c r="BM35" s="147"/>
      <c r="BN35" s="147"/>
      <c r="BO35" s="147"/>
      <c r="BP35" s="147"/>
      <c r="BQ35" s="147"/>
      <c r="BR35" s="147"/>
      <c r="BS35" s="147"/>
      <c r="BT35" s="147"/>
      <c r="BU35" s="147"/>
      <c r="BV35" s="147"/>
      <c r="BW35" s="147"/>
      <c r="BX35" s="147"/>
      <c r="BY35" s="147"/>
      <c r="BZ35" s="147"/>
      <c r="CA35" s="147"/>
      <c r="CB35" s="147"/>
      <c r="CC35" s="147"/>
      <c r="CD35" s="147"/>
      <c r="CE35" s="147"/>
      <c r="CF35" s="147"/>
      <c r="CG35" s="147"/>
      <c r="CH35" s="147"/>
      <c r="CI35" s="147"/>
      <c r="CJ35" s="147"/>
      <c r="CK35" s="147"/>
      <c r="CL35" s="147"/>
      <c r="CM35" s="147"/>
      <c r="CN35" s="147"/>
      <c r="CO35" s="147"/>
      <c r="CP35" s="147"/>
      <c r="CQ35" s="147"/>
      <c r="CR35" s="147"/>
      <c r="CS35" s="147"/>
      <c r="CT35" s="147"/>
      <c r="CU35" s="147"/>
      <c r="CV35" s="147"/>
      <c r="CW35" s="147"/>
      <c r="CX35" s="147"/>
      <c r="CY35" s="147"/>
      <c r="CZ35" s="147"/>
      <c r="DA35" s="147"/>
      <c r="DB35" s="147"/>
      <c r="DC35" s="147"/>
      <c r="DD35" s="147"/>
      <c r="DE35" s="147"/>
      <c r="DF35" s="147"/>
      <c r="DG35" s="147"/>
      <c r="DH35" s="147"/>
      <c r="DI35" s="147"/>
      <c r="DJ35" s="147"/>
      <c r="DK35" s="147"/>
      <c r="DL35" s="147"/>
      <c r="DM35" s="147"/>
      <c r="DN35" s="147"/>
      <c r="DO35" s="147"/>
      <c r="DP35" s="147"/>
      <c r="DQ35" s="147"/>
      <c r="DR35" s="147"/>
      <c r="DS35" s="147"/>
      <c r="DT35" s="147"/>
      <c r="DU35" s="147"/>
      <c r="DV35" s="147"/>
      <c r="DW35" s="147"/>
      <c r="DX35" s="147"/>
      <c r="DY35" s="147"/>
      <c r="DZ35" s="147"/>
      <c r="EA35" s="147"/>
      <c r="EB35" s="147"/>
      <c r="EC35" s="147"/>
      <c r="ED35" s="147"/>
      <c r="EE35" s="147"/>
      <c r="EF35" s="147"/>
      <c r="EG35" s="147"/>
      <c r="EH35" s="147"/>
      <c r="EI35" s="147"/>
      <c r="EJ35" s="147"/>
      <c r="EK35" s="147"/>
      <c r="EL35" s="147"/>
      <c r="EM35" s="147"/>
      <c r="EN35" s="147"/>
      <c r="EO35" s="147"/>
      <c r="EP35" s="147"/>
      <c r="EQ35" s="147"/>
      <c r="ER35" s="147"/>
      <c r="ES35" s="147"/>
      <c r="ET35" s="147"/>
    </row>
    <row r="36" spans="1:150" ht="13.5">
      <c r="A36" s="147" t="s">
        <v>158</v>
      </c>
      <c r="B36" s="147">
        <v>1016226000</v>
      </c>
      <c r="C36" s="147">
        <v>112914000</v>
      </c>
      <c r="D36" s="147">
        <v>112914000</v>
      </c>
      <c r="E36" s="147">
        <v>112914000</v>
      </c>
      <c r="F36" s="147">
        <v>112914000</v>
      </c>
      <c r="G36" s="147">
        <v>112914000</v>
      </c>
      <c r="H36" s="147">
        <v>112914000</v>
      </c>
      <c r="I36" s="147">
        <v>112914000</v>
      </c>
      <c r="J36" s="147">
        <v>112914000</v>
      </c>
      <c r="K36" s="147">
        <v>112914000</v>
      </c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7"/>
      <c r="BC36" s="147"/>
      <c r="BD36" s="147"/>
      <c r="BE36" s="147"/>
      <c r="BF36" s="147"/>
      <c r="BG36" s="147"/>
      <c r="BH36" s="147"/>
      <c r="BI36" s="147"/>
      <c r="BJ36" s="147"/>
      <c r="BK36" s="147"/>
      <c r="BL36" s="147"/>
      <c r="BM36" s="147"/>
      <c r="BN36" s="147"/>
      <c r="BO36" s="147"/>
      <c r="BP36" s="147"/>
      <c r="BQ36" s="147"/>
      <c r="BR36" s="147"/>
      <c r="BS36" s="147"/>
      <c r="BT36" s="147"/>
      <c r="BU36" s="147"/>
      <c r="BV36" s="147"/>
      <c r="BW36" s="147"/>
      <c r="BX36" s="147"/>
      <c r="BY36" s="147"/>
      <c r="BZ36" s="147"/>
      <c r="CA36" s="147"/>
      <c r="CB36" s="147"/>
      <c r="CC36" s="147"/>
      <c r="CD36" s="147"/>
      <c r="CE36" s="147"/>
      <c r="CF36" s="147"/>
      <c r="CG36" s="147"/>
      <c r="CH36" s="147"/>
      <c r="CI36" s="147"/>
      <c r="CJ36" s="147"/>
      <c r="CK36" s="147"/>
      <c r="CL36" s="147"/>
      <c r="CM36" s="147"/>
      <c r="CN36" s="147"/>
      <c r="CO36" s="147"/>
      <c r="CP36" s="147"/>
      <c r="CQ36" s="147"/>
      <c r="CR36" s="147"/>
      <c r="CS36" s="147"/>
      <c r="CT36" s="147"/>
      <c r="CU36" s="147"/>
      <c r="CV36" s="147"/>
      <c r="CW36" s="147"/>
      <c r="CX36" s="147"/>
      <c r="CY36" s="147"/>
      <c r="CZ36" s="147"/>
      <c r="DA36" s="147"/>
      <c r="DB36" s="147"/>
      <c r="DC36" s="147"/>
      <c r="DD36" s="147"/>
      <c r="DE36" s="147"/>
      <c r="DF36" s="147"/>
      <c r="DG36" s="147"/>
      <c r="DH36" s="147"/>
      <c r="DI36" s="147"/>
      <c r="DJ36" s="147"/>
      <c r="DK36" s="147"/>
      <c r="DL36" s="147"/>
      <c r="DM36" s="147"/>
      <c r="DN36" s="147"/>
      <c r="DO36" s="147"/>
      <c r="DP36" s="147"/>
      <c r="DQ36" s="147"/>
      <c r="DR36" s="147"/>
      <c r="DS36" s="147"/>
      <c r="DT36" s="147"/>
      <c r="DU36" s="147"/>
      <c r="DV36" s="147"/>
      <c r="DW36" s="147"/>
      <c r="DX36" s="147"/>
      <c r="DY36" s="147"/>
      <c r="DZ36" s="147"/>
      <c r="EA36" s="147"/>
      <c r="EB36" s="147"/>
      <c r="EC36" s="147"/>
      <c r="ED36" s="147"/>
      <c r="EE36" s="147"/>
      <c r="EF36" s="147"/>
      <c r="EG36" s="147"/>
      <c r="EH36" s="147"/>
      <c r="EI36" s="147"/>
      <c r="EJ36" s="147"/>
      <c r="EK36" s="147"/>
      <c r="EL36" s="147"/>
      <c r="EM36" s="147"/>
      <c r="EN36" s="147"/>
      <c r="EO36" s="147"/>
      <c r="EP36" s="147"/>
      <c r="EQ36" s="147"/>
      <c r="ER36" s="147"/>
      <c r="ES36" s="147"/>
      <c r="ET36" s="147"/>
    </row>
    <row r="37" spans="1:150" ht="13.5">
      <c r="A37" s="147" t="s">
        <v>160</v>
      </c>
      <c r="B37" s="147">
        <v>105300000</v>
      </c>
      <c r="C37" s="147">
        <v>11700000</v>
      </c>
      <c r="D37" s="147">
        <v>11700000</v>
      </c>
      <c r="E37" s="147">
        <v>11700000</v>
      </c>
      <c r="F37" s="147">
        <v>11700000</v>
      </c>
      <c r="G37" s="147">
        <v>11700000</v>
      </c>
      <c r="H37" s="147">
        <v>11700000</v>
      </c>
      <c r="I37" s="147">
        <v>11700000</v>
      </c>
      <c r="J37" s="147">
        <v>11700000</v>
      </c>
      <c r="K37" s="147">
        <v>11700000</v>
      </c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G37" s="147"/>
      <c r="BH37" s="147"/>
      <c r="BI37" s="147"/>
      <c r="BJ37" s="147"/>
      <c r="BK37" s="147"/>
      <c r="BL37" s="147"/>
      <c r="BM37" s="147"/>
      <c r="BN37" s="147"/>
      <c r="BO37" s="147"/>
      <c r="BP37" s="147"/>
      <c r="BQ37" s="147"/>
      <c r="BR37" s="147"/>
      <c r="BS37" s="147"/>
      <c r="BT37" s="147"/>
      <c r="BU37" s="147"/>
      <c r="BV37" s="147"/>
      <c r="BW37" s="147"/>
      <c r="BX37" s="147"/>
      <c r="BY37" s="147"/>
      <c r="BZ37" s="147"/>
      <c r="CA37" s="147"/>
      <c r="CB37" s="147"/>
      <c r="CC37" s="147"/>
      <c r="CD37" s="147"/>
      <c r="CE37" s="147"/>
      <c r="CF37" s="147"/>
      <c r="CG37" s="147"/>
      <c r="CH37" s="147"/>
      <c r="CI37" s="147"/>
      <c r="CJ37" s="147"/>
      <c r="CK37" s="147"/>
      <c r="CL37" s="147"/>
      <c r="CM37" s="147"/>
      <c r="CN37" s="147"/>
      <c r="CO37" s="147"/>
      <c r="CP37" s="147"/>
      <c r="CQ37" s="147"/>
      <c r="CR37" s="147"/>
      <c r="CS37" s="147"/>
      <c r="CT37" s="147"/>
      <c r="CU37" s="147"/>
      <c r="CV37" s="147"/>
      <c r="CW37" s="147"/>
      <c r="CX37" s="147"/>
      <c r="CY37" s="147"/>
      <c r="CZ37" s="147"/>
      <c r="DA37" s="147"/>
      <c r="DB37" s="147"/>
      <c r="DC37" s="147"/>
      <c r="DD37" s="147"/>
      <c r="DE37" s="147"/>
      <c r="DF37" s="147"/>
      <c r="DG37" s="147"/>
      <c r="DH37" s="147"/>
      <c r="DI37" s="147"/>
      <c r="DJ37" s="147"/>
      <c r="DK37" s="147"/>
      <c r="DL37" s="147"/>
      <c r="DM37" s="147"/>
      <c r="DN37" s="147"/>
      <c r="DO37" s="147"/>
      <c r="DP37" s="147"/>
      <c r="DQ37" s="147"/>
      <c r="DR37" s="147"/>
      <c r="DS37" s="147"/>
      <c r="DT37" s="147"/>
      <c r="DU37" s="147"/>
      <c r="DV37" s="147"/>
      <c r="DW37" s="147"/>
      <c r="DX37" s="147"/>
      <c r="DY37" s="147"/>
      <c r="DZ37" s="147"/>
      <c r="EA37" s="147"/>
      <c r="EB37" s="147"/>
      <c r="EC37" s="147"/>
      <c r="ED37" s="147"/>
      <c r="EE37" s="147"/>
      <c r="EF37" s="147"/>
      <c r="EG37" s="147"/>
      <c r="EH37" s="147"/>
      <c r="EI37" s="147"/>
      <c r="EJ37" s="147"/>
      <c r="EK37" s="147"/>
      <c r="EL37" s="147"/>
      <c r="EM37" s="147"/>
      <c r="EN37" s="147"/>
      <c r="EO37" s="147"/>
      <c r="EP37" s="147"/>
      <c r="EQ37" s="147"/>
      <c r="ER37" s="147"/>
      <c r="ES37" s="147"/>
      <c r="ET37" s="147"/>
    </row>
    <row r="38" spans="1:150" ht="13.5">
      <c r="A38" s="147" t="s">
        <v>213</v>
      </c>
      <c r="B38" s="147">
        <v>0</v>
      </c>
      <c r="C38" s="147">
        <v>0</v>
      </c>
      <c r="D38" s="147">
        <v>0</v>
      </c>
      <c r="E38" s="147">
        <v>0</v>
      </c>
      <c r="F38" s="147">
        <v>0</v>
      </c>
      <c r="G38" s="147">
        <v>0</v>
      </c>
      <c r="H38" s="147">
        <v>0</v>
      </c>
      <c r="I38" s="147">
        <v>0</v>
      </c>
      <c r="J38" s="147">
        <v>0</v>
      </c>
      <c r="K38" s="147">
        <v>0</v>
      </c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7"/>
      <c r="BC38" s="147"/>
      <c r="BD38" s="147"/>
      <c r="BE38" s="147"/>
      <c r="BF38" s="147"/>
      <c r="BG38" s="147"/>
      <c r="BH38" s="147"/>
      <c r="BI38" s="147"/>
      <c r="BJ38" s="147"/>
      <c r="BK38" s="147"/>
      <c r="BL38" s="147"/>
      <c r="BM38" s="147"/>
      <c r="BN38" s="147"/>
      <c r="BO38" s="147"/>
      <c r="BP38" s="147"/>
      <c r="BQ38" s="147"/>
      <c r="BR38" s="147"/>
      <c r="BS38" s="147"/>
      <c r="BT38" s="147"/>
      <c r="BU38" s="147"/>
      <c r="BV38" s="147"/>
      <c r="BW38" s="147"/>
      <c r="BX38" s="147"/>
      <c r="BY38" s="147"/>
      <c r="BZ38" s="147"/>
      <c r="CA38" s="147"/>
      <c r="CB38" s="147"/>
      <c r="CC38" s="147"/>
      <c r="CD38" s="147"/>
      <c r="CE38" s="147"/>
      <c r="CF38" s="147"/>
      <c r="CG38" s="147"/>
      <c r="CH38" s="147"/>
      <c r="CI38" s="147"/>
      <c r="CJ38" s="147"/>
      <c r="CK38" s="147"/>
      <c r="CL38" s="147"/>
      <c r="CM38" s="147"/>
      <c r="CN38" s="147"/>
      <c r="CO38" s="147"/>
      <c r="CP38" s="147"/>
      <c r="CQ38" s="147"/>
      <c r="CR38" s="147"/>
      <c r="CS38" s="147"/>
      <c r="CT38" s="147"/>
      <c r="CU38" s="147"/>
      <c r="CV38" s="147"/>
      <c r="CW38" s="147"/>
      <c r="CX38" s="147"/>
      <c r="CY38" s="147"/>
      <c r="CZ38" s="147"/>
      <c r="DA38" s="147"/>
      <c r="DB38" s="147"/>
      <c r="DC38" s="147"/>
      <c r="DD38" s="147"/>
      <c r="DE38" s="147"/>
      <c r="DF38" s="147"/>
      <c r="DG38" s="147"/>
      <c r="DH38" s="147"/>
      <c r="DI38" s="147"/>
      <c r="DJ38" s="147"/>
      <c r="DK38" s="147"/>
      <c r="DL38" s="147"/>
      <c r="DM38" s="147"/>
      <c r="DN38" s="147"/>
      <c r="DO38" s="147"/>
      <c r="DP38" s="147"/>
      <c r="DQ38" s="147"/>
      <c r="DR38" s="147"/>
      <c r="DS38" s="147"/>
      <c r="DT38" s="147"/>
      <c r="DU38" s="147"/>
      <c r="DV38" s="147"/>
      <c r="DW38" s="147"/>
      <c r="DX38" s="147"/>
      <c r="DY38" s="147"/>
      <c r="DZ38" s="147"/>
      <c r="EA38" s="147"/>
      <c r="EB38" s="147"/>
      <c r="EC38" s="147"/>
      <c r="ED38" s="147"/>
      <c r="EE38" s="147"/>
      <c r="EF38" s="147"/>
      <c r="EG38" s="147"/>
      <c r="EH38" s="147"/>
      <c r="EI38" s="147"/>
      <c r="EJ38" s="147"/>
      <c r="EK38" s="147"/>
      <c r="EL38" s="147"/>
      <c r="EM38" s="147"/>
      <c r="EN38" s="147"/>
      <c r="EO38" s="147"/>
      <c r="EP38" s="147"/>
      <c r="EQ38" s="147"/>
      <c r="ER38" s="147"/>
      <c r="ES38" s="147"/>
      <c r="ET38" s="147"/>
    </row>
    <row r="39" spans="1:150" ht="13.5">
      <c r="A39" s="147" t="s">
        <v>19</v>
      </c>
      <c r="B39" s="147">
        <v>1971286500</v>
      </c>
      <c r="C39" s="147">
        <v>412738500</v>
      </c>
      <c r="D39" s="147">
        <v>194818500</v>
      </c>
      <c r="E39" s="147">
        <v>194818500</v>
      </c>
      <c r="F39" s="147">
        <v>194818500</v>
      </c>
      <c r="G39" s="147">
        <v>194818500</v>
      </c>
      <c r="H39" s="147">
        <v>194818500</v>
      </c>
      <c r="I39" s="147">
        <v>194818500</v>
      </c>
      <c r="J39" s="147">
        <v>194818500</v>
      </c>
      <c r="K39" s="147">
        <v>194818500</v>
      </c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7"/>
      <c r="BC39" s="147"/>
      <c r="BD39" s="147"/>
      <c r="BE39" s="147"/>
      <c r="BF39" s="147"/>
      <c r="BG39" s="147"/>
      <c r="BH39" s="147"/>
      <c r="BI39" s="147"/>
      <c r="BJ39" s="147"/>
      <c r="BK39" s="147"/>
      <c r="BL39" s="147"/>
      <c r="BM39" s="147"/>
      <c r="BN39" s="147"/>
      <c r="BO39" s="147"/>
      <c r="BP39" s="147"/>
      <c r="BQ39" s="147"/>
      <c r="BR39" s="147"/>
      <c r="BS39" s="147"/>
      <c r="BT39" s="147"/>
      <c r="BU39" s="147"/>
      <c r="BV39" s="147"/>
      <c r="BW39" s="147"/>
      <c r="BX39" s="147"/>
      <c r="BY39" s="147"/>
      <c r="BZ39" s="147"/>
      <c r="CA39" s="147"/>
      <c r="CB39" s="147"/>
      <c r="CC39" s="147"/>
      <c r="CD39" s="147"/>
      <c r="CE39" s="147"/>
      <c r="CF39" s="147"/>
      <c r="CG39" s="147"/>
      <c r="CH39" s="147"/>
      <c r="CI39" s="147"/>
      <c r="CJ39" s="147"/>
      <c r="CK39" s="147"/>
      <c r="CL39" s="147"/>
      <c r="CM39" s="147"/>
      <c r="CN39" s="147"/>
      <c r="CO39" s="147"/>
      <c r="CP39" s="147"/>
      <c r="CQ39" s="147"/>
      <c r="CR39" s="147"/>
      <c r="CS39" s="147"/>
      <c r="CT39" s="147"/>
      <c r="CU39" s="147"/>
      <c r="CV39" s="147"/>
      <c r="CW39" s="147"/>
      <c r="CX39" s="147"/>
      <c r="CY39" s="147"/>
      <c r="CZ39" s="147"/>
      <c r="DA39" s="147"/>
      <c r="DB39" s="147"/>
      <c r="DC39" s="147"/>
      <c r="DD39" s="147"/>
      <c r="DE39" s="147"/>
      <c r="DF39" s="147"/>
      <c r="DG39" s="147"/>
      <c r="DH39" s="147"/>
      <c r="DI39" s="147"/>
      <c r="DJ39" s="147"/>
      <c r="DK39" s="147"/>
      <c r="DL39" s="147"/>
      <c r="DM39" s="147"/>
      <c r="DN39" s="147"/>
      <c r="DO39" s="147"/>
      <c r="DP39" s="147"/>
      <c r="DQ39" s="147"/>
      <c r="DR39" s="147"/>
      <c r="DS39" s="147"/>
      <c r="DT39" s="147"/>
      <c r="DU39" s="147"/>
      <c r="DV39" s="147"/>
      <c r="DW39" s="147"/>
      <c r="DX39" s="147"/>
      <c r="DY39" s="147"/>
      <c r="DZ39" s="147"/>
      <c r="EA39" s="147"/>
      <c r="EB39" s="147"/>
      <c r="EC39" s="147"/>
      <c r="ED39" s="147"/>
      <c r="EE39" s="147"/>
      <c r="EF39" s="147"/>
      <c r="EG39" s="147"/>
      <c r="EH39" s="147"/>
      <c r="EI39" s="147"/>
      <c r="EJ39" s="147"/>
      <c r="EK39" s="147"/>
      <c r="EL39" s="147"/>
      <c r="EM39" s="147"/>
      <c r="EN39" s="147"/>
      <c r="EO39" s="147"/>
      <c r="EP39" s="147"/>
      <c r="EQ39" s="147"/>
      <c r="ER39" s="147"/>
      <c r="ES39" s="147"/>
      <c r="ET39" s="147"/>
    </row>
    <row r="40" spans="1:150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</row>
    <row r="41" spans="1:150">
      <c r="A41" s="150">
        <v>2027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 s="151"/>
      <c r="AB41" s="151"/>
      <c r="AC41" s="151"/>
      <c r="AD41" s="151"/>
      <c r="AE41" s="151"/>
      <c r="AF41" s="151"/>
      <c r="AG41" s="151"/>
      <c r="AH41" s="151"/>
      <c r="AI41" s="151"/>
      <c r="AJ41" s="151"/>
      <c r="AK41" s="151"/>
      <c r="AL41" s="151"/>
      <c r="AM41" s="151"/>
      <c r="AN41" s="151"/>
      <c r="AO41" s="151"/>
      <c r="AP41" s="151"/>
      <c r="AQ41" s="151"/>
      <c r="AR41" s="151"/>
      <c r="AS41" s="151"/>
      <c r="AT41" s="151"/>
      <c r="AU41" s="151"/>
      <c r="AV41" s="151"/>
      <c r="AW41" s="151"/>
      <c r="AX41" s="151"/>
      <c r="AY41" s="151"/>
      <c r="AZ41" s="151"/>
      <c r="BA41" s="151"/>
      <c r="BB41" s="151"/>
      <c r="BC41" s="151"/>
      <c r="BD41" s="151"/>
      <c r="BE41" s="151"/>
      <c r="BF41" s="151"/>
      <c r="BG41" s="151"/>
      <c r="BH41" s="151"/>
      <c r="BI41" s="151"/>
      <c r="BJ41" s="151"/>
      <c r="BK41" s="151"/>
      <c r="BL41" s="151"/>
      <c r="BM41" s="151"/>
      <c r="BN41" s="151"/>
      <c r="BO41" s="151"/>
      <c r="BP41" s="151"/>
      <c r="BQ41" s="151"/>
      <c r="BR41" s="151"/>
      <c r="BS41" s="151"/>
      <c r="BT41" s="151"/>
      <c r="BU41" s="151"/>
      <c r="BV41" s="151"/>
      <c r="BW41" s="151"/>
      <c r="BX41" s="151"/>
      <c r="BY41" s="151"/>
      <c r="BZ41" s="151"/>
      <c r="CA41" s="151"/>
      <c r="CB41" s="151"/>
      <c r="CC41" s="151"/>
      <c r="CD41" s="151"/>
      <c r="CE41" s="151"/>
      <c r="CF41" s="151"/>
      <c r="CG41" s="151"/>
      <c r="CH41" s="151"/>
      <c r="CI41" s="151"/>
      <c r="CJ41" s="151"/>
      <c r="CK41" s="151"/>
      <c r="CL41" s="151"/>
      <c r="CM41" s="151"/>
      <c r="CN41" s="151"/>
      <c r="CO41" s="151"/>
      <c r="CP41" s="151"/>
      <c r="CQ41" s="151"/>
      <c r="CR41" s="151"/>
      <c r="CS41" s="151"/>
      <c r="CT41" s="151"/>
      <c r="CU41" s="151"/>
      <c r="CV41" s="151"/>
      <c r="CW41" s="151"/>
      <c r="CX41" s="151"/>
      <c r="CY41" s="151"/>
      <c r="CZ41" s="151"/>
      <c r="DA41" s="151"/>
      <c r="DB41" s="151"/>
      <c r="DC41" s="151"/>
      <c r="DD41" s="151"/>
      <c r="DE41" s="151"/>
      <c r="DF41" s="151"/>
      <c r="DG41" s="151"/>
      <c r="DH41" s="151"/>
      <c r="DI41" s="151"/>
      <c r="DJ41" s="151"/>
      <c r="DK41" s="151"/>
      <c r="DL41" s="151"/>
      <c r="DM41" s="151"/>
      <c r="DN41" s="151"/>
      <c r="DO41" s="151"/>
      <c r="DP41" s="151"/>
      <c r="DQ41" s="151"/>
      <c r="DR41" s="151"/>
      <c r="DS41" s="151"/>
      <c r="DT41" s="151"/>
      <c r="DU41" s="151"/>
      <c r="DV41" s="151"/>
      <c r="DW41" s="151"/>
      <c r="DX41" s="151"/>
      <c r="DY41" s="151"/>
      <c r="DZ41" s="151"/>
      <c r="EA41" s="151"/>
      <c r="EB41" s="151"/>
      <c r="EC41" s="151"/>
      <c r="ED41" s="151"/>
      <c r="EE41" s="151"/>
      <c r="EF41" s="151"/>
      <c r="EG41" s="151"/>
      <c r="EH41" s="151"/>
      <c r="EI41" s="151"/>
      <c r="EJ41" s="151"/>
      <c r="EK41" s="151"/>
      <c r="EL41" s="151"/>
      <c r="EM41" s="151"/>
      <c r="EN41" s="151"/>
      <c r="EO41" s="151"/>
      <c r="EP41" s="151"/>
      <c r="EQ41" s="151"/>
      <c r="ER41" s="151"/>
      <c r="ES41" s="151"/>
      <c r="ET41" s="151"/>
    </row>
    <row r="42" spans="1:150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17"/>
      <c r="AC42" s="117"/>
      <c r="AD42" s="117"/>
      <c r="AE42" s="117"/>
      <c r="AF42" s="117"/>
      <c r="AG42" s="117"/>
      <c r="AH42" s="117"/>
      <c r="AI42" s="117"/>
      <c r="AJ42" s="117"/>
      <c r="AK42" s="117"/>
      <c r="AL42" s="117"/>
      <c r="AM42" s="117"/>
      <c r="AN42" s="117"/>
      <c r="AO42" s="117"/>
      <c r="AP42" s="117"/>
      <c r="AQ42" s="117"/>
      <c r="AR42" s="117"/>
      <c r="AS42" s="117"/>
      <c r="AT42" s="117"/>
      <c r="AU42" s="117"/>
      <c r="AV42" s="117"/>
      <c r="AW42" s="117"/>
      <c r="AX42" s="117"/>
      <c r="AY42" s="117"/>
      <c r="AZ42" s="117"/>
      <c r="BA42" s="117"/>
      <c r="BB42" s="117"/>
      <c r="BC42" s="117"/>
      <c r="BD42" s="117"/>
      <c r="BE42" s="117"/>
      <c r="BF42" s="117"/>
      <c r="BG42" s="117"/>
      <c r="BH42" s="117"/>
      <c r="BI42" s="117"/>
      <c r="BJ42" s="117"/>
      <c r="BK42" s="117"/>
      <c r="BL42" s="117"/>
      <c r="BM42" s="117"/>
      <c r="BN42" s="117"/>
      <c r="BO42" s="117"/>
      <c r="BP42" s="117"/>
      <c r="BQ42" s="117"/>
      <c r="BR42" s="117"/>
      <c r="BS42" s="117"/>
      <c r="BT42" s="117"/>
      <c r="BU42" s="117"/>
      <c r="BV42" s="117"/>
      <c r="BW42" s="117"/>
      <c r="BX42" s="117"/>
      <c r="BY42" s="117"/>
      <c r="BZ42" s="117"/>
      <c r="CA42" s="117"/>
      <c r="CB42" s="117"/>
      <c r="CC42" s="117"/>
      <c r="CD42" s="117"/>
      <c r="CE42" s="117"/>
      <c r="CF42" s="117"/>
      <c r="CG42" s="117"/>
      <c r="CH42" s="117"/>
      <c r="CI42" s="117"/>
      <c r="CJ42" s="117"/>
      <c r="CK42" s="117"/>
      <c r="CL42" s="117"/>
      <c r="CM42" s="117"/>
      <c r="CN42" s="117"/>
      <c r="CO42" s="117"/>
      <c r="CP42" s="117"/>
      <c r="CQ42" s="117"/>
      <c r="CR42" s="117"/>
      <c r="CS42" s="117"/>
      <c r="CT42" s="117"/>
      <c r="CU42" s="117"/>
      <c r="CV42" s="117"/>
      <c r="CW42" s="117"/>
      <c r="CX42" s="117"/>
      <c r="CY42" s="117"/>
      <c r="CZ42" s="117"/>
      <c r="DA42" s="117"/>
      <c r="DB42" s="117"/>
      <c r="DC42" s="117"/>
      <c r="DD42" s="117"/>
      <c r="DE42" s="117"/>
      <c r="DF42" s="117"/>
      <c r="DG42" s="117"/>
      <c r="DH42" s="117"/>
      <c r="DI42" s="117"/>
      <c r="DJ42" s="117"/>
      <c r="DK42" s="117"/>
      <c r="DL42" s="117"/>
      <c r="DM42" s="117"/>
      <c r="DN42" s="117"/>
      <c r="DO42" s="117"/>
      <c r="DP42" s="117"/>
      <c r="DQ42" s="117"/>
      <c r="DR42" s="117"/>
      <c r="DS42" s="117"/>
      <c r="DT42" s="117"/>
      <c r="DU42" s="117"/>
      <c r="DV42" s="117"/>
      <c r="DW42" s="117"/>
      <c r="DX42" s="117"/>
      <c r="DY42" s="117"/>
      <c r="DZ42" s="117"/>
      <c r="EA42" s="117"/>
      <c r="EB42" s="117"/>
      <c r="EC42" s="117"/>
      <c r="ED42" s="117"/>
      <c r="EE42" s="117"/>
      <c r="EF42" s="117"/>
      <c r="EG42" s="117"/>
      <c r="EH42" s="117"/>
      <c r="EI42" s="117"/>
      <c r="EJ42" s="117"/>
      <c r="EK42" s="117"/>
      <c r="EL42" s="117"/>
      <c r="EM42" s="117"/>
      <c r="EN42" s="117"/>
      <c r="EO42" s="117"/>
      <c r="EP42" s="117"/>
      <c r="EQ42" s="117"/>
      <c r="ER42" s="117"/>
      <c r="ES42" s="117"/>
      <c r="ET42" s="117"/>
    </row>
    <row r="43" spans="1:150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7"/>
      <c r="BC43" s="147"/>
      <c r="BD43" s="147"/>
      <c r="BE43" s="147"/>
      <c r="BF43" s="147"/>
      <c r="BG43" s="147"/>
      <c r="BH43" s="147"/>
      <c r="BI43" s="147"/>
      <c r="BJ43" s="147"/>
      <c r="BK43" s="147"/>
      <c r="BL43" s="147"/>
      <c r="BM43" s="147"/>
      <c r="BN43" s="147"/>
      <c r="BO43" s="147"/>
      <c r="BP43" s="147"/>
      <c r="BQ43" s="147"/>
      <c r="BR43" s="147"/>
      <c r="BS43" s="147"/>
      <c r="BT43" s="147"/>
      <c r="BU43" s="147"/>
      <c r="BV43" s="147"/>
      <c r="BW43" s="147"/>
      <c r="BX43" s="147"/>
      <c r="BY43" s="147"/>
      <c r="BZ43" s="147"/>
      <c r="CA43" s="147"/>
      <c r="CB43" s="147"/>
      <c r="CC43" s="147"/>
      <c r="CD43" s="147"/>
      <c r="CE43" s="147"/>
      <c r="CF43" s="147"/>
      <c r="CG43" s="147"/>
      <c r="CH43" s="147"/>
      <c r="CI43" s="147"/>
      <c r="CJ43" s="147"/>
      <c r="CK43" s="147"/>
      <c r="CL43" s="147"/>
      <c r="CM43" s="147"/>
      <c r="CN43" s="147"/>
      <c r="CO43" s="147"/>
      <c r="CP43" s="147"/>
      <c r="CQ43" s="147"/>
      <c r="CR43" s="147"/>
      <c r="CS43" s="147"/>
      <c r="CT43" s="147"/>
      <c r="CU43" s="147"/>
      <c r="CV43" s="147"/>
      <c r="CW43" s="147"/>
      <c r="CX43" s="147"/>
      <c r="CY43" s="147"/>
      <c r="CZ43" s="147"/>
      <c r="DA43" s="147"/>
      <c r="DB43" s="147"/>
      <c r="DC43" s="147"/>
      <c r="DD43" s="147"/>
      <c r="DE43" s="147"/>
      <c r="DF43" s="147"/>
      <c r="DG43" s="147"/>
      <c r="DH43" s="147"/>
      <c r="DI43" s="147"/>
      <c r="DJ43" s="147"/>
      <c r="DK43" s="147"/>
      <c r="DL43" s="147"/>
      <c r="DM43" s="147"/>
      <c r="DN43" s="147"/>
      <c r="DO43" s="147"/>
      <c r="DP43" s="147"/>
      <c r="DQ43" s="147"/>
      <c r="DR43" s="147"/>
      <c r="DS43" s="147"/>
      <c r="DT43" s="147"/>
      <c r="DU43" s="147"/>
      <c r="DV43" s="147"/>
      <c r="DW43" s="147"/>
      <c r="DX43" s="147"/>
      <c r="DY43" s="147"/>
      <c r="DZ43" s="147"/>
      <c r="EA43" s="147"/>
      <c r="EB43" s="147"/>
      <c r="EC43" s="147"/>
      <c r="ED43" s="147"/>
      <c r="EE43" s="147"/>
      <c r="EF43" s="147"/>
      <c r="EG43" s="147"/>
      <c r="EH43" s="147"/>
      <c r="EI43" s="147"/>
      <c r="EJ43" s="147"/>
      <c r="EK43" s="147"/>
      <c r="EL43" s="147"/>
      <c r="EM43" s="147"/>
      <c r="EN43" s="147"/>
      <c r="EO43" s="147"/>
      <c r="EP43" s="147"/>
      <c r="EQ43" s="147"/>
      <c r="ER43" s="147"/>
      <c r="ES43" s="147"/>
      <c r="ET43" s="147"/>
    </row>
    <row r="44" spans="1:150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7"/>
      <c r="BC44" s="147"/>
      <c r="BD44" s="147"/>
      <c r="BE44" s="147"/>
      <c r="BF44" s="147"/>
      <c r="BG44" s="147"/>
      <c r="BH44" s="147"/>
      <c r="BI44" s="147"/>
      <c r="BJ44" s="147"/>
      <c r="BK44" s="147"/>
      <c r="BL44" s="147"/>
      <c r="BM44" s="147"/>
      <c r="BN44" s="147"/>
      <c r="BO44" s="147"/>
      <c r="BP44" s="147"/>
      <c r="BQ44" s="147"/>
      <c r="BR44" s="147"/>
      <c r="BS44" s="147"/>
      <c r="BT44" s="147"/>
      <c r="BU44" s="147"/>
      <c r="BV44" s="147"/>
      <c r="BW44" s="147"/>
      <c r="BX44" s="147"/>
      <c r="BY44" s="147"/>
      <c r="BZ44" s="147"/>
      <c r="CA44" s="147"/>
      <c r="CB44" s="147"/>
      <c r="CC44" s="147"/>
      <c r="CD44" s="147"/>
      <c r="CE44" s="147"/>
      <c r="CF44" s="147"/>
      <c r="CG44" s="147"/>
      <c r="CH44" s="147"/>
      <c r="CI44" s="147"/>
      <c r="CJ44" s="147"/>
      <c r="CK44" s="147"/>
      <c r="CL44" s="147"/>
      <c r="CM44" s="147"/>
      <c r="CN44" s="147"/>
      <c r="CO44" s="147"/>
      <c r="CP44" s="147"/>
      <c r="CQ44" s="147"/>
      <c r="CR44" s="147"/>
      <c r="CS44" s="147"/>
      <c r="CT44" s="147"/>
      <c r="CU44" s="147"/>
      <c r="CV44" s="147"/>
      <c r="CW44" s="147"/>
      <c r="CX44" s="147"/>
      <c r="CY44" s="147"/>
      <c r="CZ44" s="147"/>
      <c r="DA44" s="147"/>
      <c r="DB44" s="147"/>
      <c r="DC44" s="147"/>
      <c r="DD44" s="147"/>
      <c r="DE44" s="147"/>
      <c r="DF44" s="147"/>
      <c r="DG44" s="147"/>
      <c r="DH44" s="147"/>
      <c r="DI44" s="147"/>
      <c r="DJ44" s="147"/>
      <c r="DK44" s="147"/>
      <c r="DL44" s="147"/>
      <c r="DM44" s="147"/>
      <c r="DN44" s="147"/>
      <c r="DO44" s="147"/>
      <c r="DP44" s="147"/>
      <c r="DQ44" s="147"/>
      <c r="DR44" s="147"/>
      <c r="DS44" s="147"/>
      <c r="DT44" s="147"/>
      <c r="DU44" s="147"/>
      <c r="DV44" s="147"/>
      <c r="DW44" s="147"/>
      <c r="DX44" s="147"/>
      <c r="DY44" s="147"/>
      <c r="DZ44" s="147"/>
      <c r="EA44" s="147"/>
      <c r="EB44" s="147"/>
      <c r="EC44" s="147"/>
      <c r="ED44" s="147"/>
      <c r="EE44" s="147"/>
      <c r="EF44" s="147"/>
      <c r="EG44" s="147"/>
      <c r="EH44" s="147"/>
      <c r="EI44" s="147"/>
      <c r="EJ44" s="147"/>
      <c r="EK44" s="147"/>
      <c r="EL44" s="147"/>
      <c r="EM44" s="147"/>
      <c r="EN44" s="147"/>
      <c r="EO44" s="147"/>
      <c r="EP44" s="147"/>
      <c r="EQ44" s="147"/>
      <c r="ER44" s="147"/>
      <c r="ES44" s="147"/>
      <c r="ET44" s="147"/>
    </row>
    <row r="45" spans="1:150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7"/>
      <c r="BC45" s="147"/>
      <c r="BD45" s="147"/>
      <c r="BE45" s="147"/>
      <c r="BF45" s="147"/>
      <c r="BG45" s="147"/>
      <c r="BH45" s="147"/>
      <c r="BI45" s="147"/>
      <c r="BJ45" s="147"/>
      <c r="BK45" s="147"/>
      <c r="BL45" s="147"/>
      <c r="BM45" s="147"/>
      <c r="BN45" s="147"/>
      <c r="BO45" s="147"/>
      <c r="BP45" s="147"/>
      <c r="BQ45" s="147"/>
      <c r="BR45" s="147"/>
      <c r="BS45" s="147"/>
      <c r="BT45" s="147"/>
      <c r="BU45" s="147"/>
      <c r="BV45" s="147"/>
      <c r="BW45" s="147"/>
      <c r="BX45" s="147"/>
      <c r="BY45" s="147"/>
      <c r="BZ45" s="147"/>
      <c r="CA45" s="147"/>
      <c r="CB45" s="147"/>
      <c r="CC45" s="147"/>
      <c r="CD45" s="147"/>
      <c r="CE45" s="147"/>
      <c r="CF45" s="147"/>
      <c r="CG45" s="147"/>
      <c r="CH45" s="147"/>
      <c r="CI45" s="147"/>
      <c r="CJ45" s="147"/>
      <c r="CK45" s="147"/>
      <c r="CL45" s="147"/>
      <c r="CM45" s="147"/>
      <c r="CN45" s="147"/>
      <c r="CO45" s="147"/>
      <c r="CP45" s="147"/>
      <c r="CQ45" s="147"/>
      <c r="CR45" s="147"/>
      <c r="CS45" s="147"/>
      <c r="CT45" s="147"/>
      <c r="CU45" s="147"/>
      <c r="CV45" s="147"/>
      <c r="CW45" s="147"/>
      <c r="CX45" s="147"/>
      <c r="CY45" s="147"/>
      <c r="CZ45" s="147"/>
      <c r="DA45" s="147"/>
      <c r="DB45" s="147"/>
      <c r="DC45" s="147"/>
      <c r="DD45" s="147"/>
      <c r="DE45" s="147"/>
      <c r="DF45" s="147"/>
      <c r="DG45" s="147"/>
      <c r="DH45" s="147"/>
      <c r="DI45" s="147"/>
      <c r="DJ45" s="147"/>
      <c r="DK45" s="147"/>
      <c r="DL45" s="147"/>
      <c r="DM45" s="147"/>
      <c r="DN45" s="147"/>
      <c r="DO45" s="147"/>
      <c r="DP45" s="147"/>
      <c r="DQ45" s="147"/>
      <c r="DR45" s="147"/>
      <c r="DS45" s="147"/>
      <c r="DT45" s="147"/>
      <c r="DU45" s="147"/>
      <c r="DV45" s="147"/>
      <c r="DW45" s="147"/>
      <c r="DX45" s="147"/>
      <c r="DY45" s="147"/>
      <c r="DZ45" s="147"/>
      <c r="EA45" s="147"/>
      <c r="EB45" s="147"/>
      <c r="EC45" s="147"/>
      <c r="ED45" s="147"/>
      <c r="EE45" s="147"/>
      <c r="EF45" s="147"/>
      <c r="EG45" s="147"/>
      <c r="EH45" s="147"/>
      <c r="EI45" s="147"/>
      <c r="EJ45" s="147"/>
      <c r="EK45" s="147"/>
      <c r="EL45" s="147"/>
      <c r="EM45" s="147"/>
      <c r="EN45" s="147"/>
      <c r="EO45" s="147"/>
      <c r="EP45" s="147"/>
      <c r="EQ45" s="147"/>
      <c r="ER45" s="147"/>
      <c r="ES45" s="147"/>
      <c r="ET45" s="147"/>
    </row>
    <row r="46" spans="1:150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7"/>
      <c r="BC46" s="147"/>
      <c r="BD46" s="147"/>
      <c r="BE46" s="147"/>
      <c r="BF46" s="147"/>
      <c r="BG46" s="147"/>
      <c r="BH46" s="147"/>
      <c r="BI46" s="147"/>
      <c r="BJ46" s="147"/>
      <c r="BK46" s="147"/>
      <c r="BL46" s="147"/>
      <c r="BM46" s="147"/>
      <c r="BN46" s="147"/>
      <c r="BO46" s="147"/>
      <c r="BP46" s="147"/>
      <c r="BQ46" s="147"/>
      <c r="BR46" s="147"/>
      <c r="BS46" s="147"/>
      <c r="BT46" s="147"/>
      <c r="BU46" s="147"/>
      <c r="BV46" s="147"/>
      <c r="BW46" s="147"/>
      <c r="BX46" s="147"/>
      <c r="BY46" s="147"/>
      <c r="BZ46" s="147"/>
      <c r="CA46" s="147"/>
      <c r="CB46" s="147"/>
      <c r="CC46" s="147"/>
      <c r="CD46" s="147"/>
      <c r="CE46" s="147"/>
      <c r="CF46" s="147"/>
      <c r="CG46" s="147"/>
      <c r="CH46" s="147"/>
      <c r="CI46" s="147"/>
      <c r="CJ46" s="147"/>
      <c r="CK46" s="147"/>
      <c r="CL46" s="147"/>
      <c r="CM46" s="147"/>
      <c r="CN46" s="147"/>
      <c r="CO46" s="147"/>
      <c r="CP46" s="147"/>
      <c r="CQ46" s="147"/>
      <c r="CR46" s="147"/>
      <c r="CS46" s="147"/>
      <c r="CT46" s="147"/>
      <c r="CU46" s="147"/>
      <c r="CV46" s="147"/>
      <c r="CW46" s="147"/>
      <c r="CX46" s="147"/>
      <c r="CY46" s="147"/>
      <c r="CZ46" s="147"/>
      <c r="DA46" s="147"/>
      <c r="DB46" s="147"/>
      <c r="DC46" s="147"/>
      <c r="DD46" s="147"/>
      <c r="DE46" s="147"/>
      <c r="DF46" s="147"/>
      <c r="DG46" s="147"/>
      <c r="DH46" s="147"/>
      <c r="DI46" s="147"/>
      <c r="DJ46" s="147"/>
      <c r="DK46" s="147"/>
      <c r="DL46" s="147"/>
      <c r="DM46" s="147"/>
      <c r="DN46" s="147"/>
      <c r="DO46" s="147"/>
      <c r="DP46" s="147"/>
      <c r="DQ46" s="147"/>
      <c r="DR46" s="147"/>
      <c r="DS46" s="147"/>
      <c r="DT46" s="147"/>
      <c r="DU46" s="147"/>
      <c r="DV46" s="147"/>
      <c r="DW46" s="147"/>
      <c r="DX46" s="147"/>
      <c r="DY46" s="147"/>
      <c r="DZ46" s="147"/>
      <c r="EA46" s="147"/>
      <c r="EB46" s="147"/>
      <c r="EC46" s="147"/>
      <c r="ED46" s="147"/>
      <c r="EE46" s="147"/>
      <c r="EF46" s="147"/>
      <c r="EG46" s="147"/>
      <c r="EH46" s="147"/>
      <c r="EI46" s="147"/>
      <c r="EJ46" s="147"/>
      <c r="EK46" s="147"/>
      <c r="EL46" s="147"/>
      <c r="EM46" s="147"/>
      <c r="EN46" s="147"/>
      <c r="EO46" s="147"/>
      <c r="EP46" s="147"/>
      <c r="EQ46" s="147"/>
      <c r="ER46" s="147"/>
      <c r="ES46" s="147"/>
      <c r="ET46" s="147"/>
    </row>
    <row r="47" spans="1:150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7"/>
      <c r="BC47" s="147"/>
      <c r="BD47" s="147"/>
      <c r="BE47" s="147"/>
      <c r="BF47" s="147"/>
      <c r="BG47" s="147"/>
      <c r="BH47" s="147"/>
      <c r="BI47" s="147"/>
      <c r="BJ47" s="147"/>
      <c r="BK47" s="147"/>
      <c r="BL47" s="147"/>
      <c r="BM47" s="147"/>
      <c r="BN47" s="147"/>
      <c r="BO47" s="147"/>
      <c r="BP47" s="147"/>
      <c r="BQ47" s="147"/>
      <c r="BR47" s="147"/>
      <c r="BS47" s="147"/>
      <c r="BT47" s="147"/>
      <c r="BU47" s="147"/>
      <c r="BV47" s="147"/>
      <c r="BW47" s="147"/>
      <c r="BX47" s="147"/>
      <c r="BY47" s="147"/>
      <c r="BZ47" s="147"/>
      <c r="CA47" s="147"/>
      <c r="CB47" s="147"/>
      <c r="CC47" s="147"/>
      <c r="CD47" s="147"/>
      <c r="CE47" s="147"/>
      <c r="CF47" s="147"/>
      <c r="CG47" s="147"/>
      <c r="CH47" s="147"/>
      <c r="CI47" s="147"/>
      <c r="CJ47" s="147"/>
      <c r="CK47" s="147"/>
      <c r="CL47" s="147"/>
      <c r="CM47" s="147"/>
      <c r="CN47" s="147"/>
      <c r="CO47" s="147"/>
      <c r="CP47" s="147"/>
      <c r="CQ47" s="147"/>
      <c r="CR47" s="147"/>
      <c r="CS47" s="147"/>
      <c r="CT47" s="147"/>
      <c r="CU47" s="147"/>
      <c r="CV47" s="147"/>
      <c r="CW47" s="147"/>
      <c r="CX47" s="147"/>
      <c r="CY47" s="147"/>
      <c r="CZ47" s="147"/>
      <c r="DA47" s="147"/>
      <c r="DB47" s="147"/>
      <c r="DC47" s="147"/>
      <c r="DD47" s="147"/>
      <c r="DE47" s="147"/>
      <c r="DF47" s="147"/>
      <c r="DG47" s="147"/>
      <c r="DH47" s="147"/>
      <c r="DI47" s="147"/>
      <c r="DJ47" s="147"/>
      <c r="DK47" s="147"/>
      <c r="DL47" s="147"/>
      <c r="DM47" s="147"/>
      <c r="DN47" s="147"/>
      <c r="DO47" s="147"/>
      <c r="DP47" s="147"/>
      <c r="DQ47" s="147"/>
      <c r="DR47" s="147"/>
      <c r="DS47" s="147"/>
      <c r="DT47" s="147"/>
      <c r="DU47" s="147"/>
      <c r="DV47" s="147"/>
      <c r="DW47" s="147"/>
      <c r="DX47" s="147"/>
      <c r="DY47" s="147"/>
      <c r="DZ47" s="147"/>
      <c r="EA47" s="147"/>
      <c r="EB47" s="147"/>
      <c r="EC47" s="147"/>
      <c r="ED47" s="147"/>
      <c r="EE47" s="147"/>
      <c r="EF47" s="147"/>
      <c r="EG47" s="147"/>
      <c r="EH47" s="147"/>
      <c r="EI47" s="147"/>
      <c r="EJ47" s="147"/>
      <c r="EK47" s="147"/>
      <c r="EL47" s="147"/>
      <c r="EM47" s="147"/>
      <c r="EN47" s="147"/>
      <c r="EO47" s="147"/>
      <c r="EP47" s="147"/>
      <c r="EQ47" s="147"/>
      <c r="ER47" s="147"/>
      <c r="ES47" s="147"/>
      <c r="ET47" s="147"/>
    </row>
    <row r="48" spans="1:150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</row>
    <row r="49" spans="1:50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</row>
    <row r="50" spans="1:50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</row>
    <row r="51" spans="1:50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</row>
    <row r="52" spans="1:50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</row>
    <row r="53" spans="1:50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</row>
    <row r="54" spans="1:50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</row>
    <row r="55" spans="1:50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</row>
    <row r="56" spans="1:50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</row>
    <row r="57" spans="1:50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</row>
    <row r="58" spans="1:50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</row>
    <row r="59" spans="1:50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</row>
    <row r="60" spans="1:50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</row>
    <row r="61" spans="1:50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</row>
    <row r="62" spans="1:50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</row>
    <row r="63" spans="1:50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</row>
    <row r="64" spans="1:50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</row>
    <row r="65" spans="1:50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</row>
    <row r="66" spans="1:50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</row>
    <row r="67" spans="1:50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</row>
    <row r="68" spans="1:50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</row>
    <row r="69" spans="1:50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</row>
    <row r="70" spans="1:50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</row>
    <row r="71" spans="1:50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</row>
    <row r="72" spans="1:50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</row>
    <row r="73" spans="1:50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</row>
    <row r="74" spans="1:50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</row>
    <row r="75" spans="1:50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</row>
    <row r="76" spans="1:50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</row>
    <row r="77" spans="1:50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</row>
    <row r="78" spans="1:50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</row>
    <row r="79" spans="1:50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</row>
    <row r="80" spans="1:50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</row>
    <row r="81" spans="1:26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</row>
    <row r="82" spans="1:26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</row>
    <row r="83" spans="1:26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</row>
    <row r="84" spans="1:26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</row>
    <row r="85" spans="1:26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</row>
    <row r="86" spans="1:26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</row>
    <row r="87" spans="1:26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</row>
    <row r="88" spans="1:26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</row>
    <row r="89" spans="1:26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</row>
    <row r="90" spans="1:26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</row>
    <row r="91" spans="1:26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</row>
    <row r="92" spans="1:26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</row>
    <row r="93" spans="1:26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</row>
    <row r="94" spans="1:26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</row>
    <row r="95" spans="1:26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</row>
    <row r="96" spans="1:26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</row>
    <row r="97" spans="1:26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</row>
    <row r="98" spans="1:26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</row>
    <row r="99" spans="1:26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</row>
    <row r="100" spans="1:26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</row>
    <row r="101" spans="1:26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</row>
    <row r="102" spans="1:26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criptIds xmlns="http://schemas.microsoft.com/office/extensibility/maker/v1.0" id="script-ids-node-id">
  <scriptId xmlns="" id="ms-officescript%3A%2F%2Fonedrive_business_itemlink%2F01SJKRCWVLKTIFVUMNOJEI3TR7QW7IQ4XA:ms-officescript%3A%2F%2Fonedrive_business_sharinglink%2Fu!aHR0cHM6Ly93Z2NwLW15LnNoYXJlcG9pbnQuY29tLzp1Oi9nL3BlcnNvbmFsL2p1YW5fdGluamFjYV9ibGVuZDM2MF9jb20vRWF0VTBGclJqWEpJamM0X2hiNkljdUFCUHExbG5keWw0SU9HTkc2SnUteldZdw"/>
  <scriptId xmlns="" id="ms-officescript%3A%2F%2Fonedrive_business_itemlink%2F01SJKRCWQP6JIYVA2VQZDKBZZXITURVQZL:ms-officescript%3A%2F%2Fonedrive_business_sharinglink%2Fu!aHR0cHM6Ly93Z2NwLW15LnNoYXJlcG9pbnQuY29tLzp1Oi9nL3BlcnNvbmFsL2p1YW5fdGluamFjYV9ibGVuZDM2MF9jb20vRVFfeVVZcURWWVpHb09jM1JPa2F3eXNCUkJ6bEtRTzVjaDYwSHVJR1pRYlI2UQ"/>
  <scriptId xmlns="" id="ms-officescript%3A%2F%2Fsharepoint_itemlink%2Fb!DjhyP-VqyUagmthunV3X6WTVHrX48o9Go4jgcYTxwKYGElwne6MiT4jJo9tfzq3i%2F01ILCY7KGZXB26NSX5R5DKU3224XC7KRKK:ms-officescript%3A%2F%2Fsharepoint_sharinglink%2Fu!aHR0cHM6Ly93Z2NwLnNoYXJlcG9pbnQuY29tLzp1Oi9zL05VVlUtQ29tZXJjaWFsL0VkbTRkZWJLX1k5R3FtOWE1Y1gxUlVvQkFDUkdTT21sNEwyZDRwVU53OFphdEE"/>
  <scriptId xmlns="" id="ms-officescript%3A%2F%2Fsharepoint_itemlink%2Fb!DjhyP-VqyUagmthunV3X6WTVHrX48o9Go4jgcYTxwKYGElwne6MiT4jJo9tfzq3i%2F01ILCY7KHKHARV2K75GVFZIY7RG4U6AJX4:ms-officescript%3A%2F%2Fsharepoint_sharinglink%2Fu!aHR0cHM6Ly93Z2NwLnNoYXJlcG9pbnQuY29tLzp1Oi9zL05VVlUtQ29tZXJjaWFsL0VlbzRJMTByX1RWTGxHUHhOeW5nSnZ3QmgwUzJma3dTX2V4WjQxbEpKMS1JSEE"/>
  <scriptId xmlns="" id="ms-officescript%3A%2F%2Fonedrive_business_itemlink%2F01SJKRCWUP52DFKSQUTVALBWPYFIBJPVCT:ms-officescript%3A%2F%2Fonedrive_business_sharinglink%2Fu!aHR0cHM6Ly93Z2NwLW15LnNoYXJlcG9pbnQuY29tLzp1Oi9nL3BlcnNvbmFsL2p1YW5fdGluamFjYV9ibGVuZDM2MF9jb20vRVlfdWhsVktGSjFBc05uNEtnS1gxRk1Cb05qRTVSOWRwbTJZbmhFSTBxaUVyZw"/>
  <scriptId xmlns="" id="ms-officescript%3A%2F%2Fsharepoint_itemlink%2Fb!DjhyP-VqyUagmthunV3X6WTVHrX48o9Go4jgcYTxwKYGElwne6MiT4jJo9tfzq3i%2F01ILCY7KDJA63XIC7INNDZ2EXEVQZULF6L:ms-officescript%3A%2F%2Fsharepoint_sharinglink%2Fu!aHR0cHM6Ly93Z2NwLnNoYXJlcG9pbnQuY29tLzp1Oi9zL05VVlUtQ29tZXJjaWFsL0VXa0h0M1FMNkd0SG5STGtyRE5GbDhzQlh4UTUxTDlGRm50VUpfUmhHTkdTbXc"/>
  <scriptId xmlns="" id="ms-officescript%3A%2F%2Fsharepoint_itemlink%2Fb!DjhyP-VqyUagmthunV3X6WTVHrX48o9Go4jgcYTxwKYGElwne6MiT4jJo9tfzq3i%2F01ILCY7KGQAF5X77Q5IBH3LPKPQIYT375S:ms-officescript%3A%2F%2Fsharepoint_sharinglink%2Fu!aHR0cHM6Ly93Z2NwLnNoYXJlcG9pbnQuY29tLzp1Oi9zL05VVlUtQ29tZXJjaWFsL0VkQUJlM18tSFVCUHRiMVBnakU5XzdJQk9fcWk0dW1FeVQ3anNKeUs2cG9RN0E"/>
  <scriptId xmlns="" id="ms-officescript%3A%2F%2Fsharepoint_itemlink%2Fb!DjhyP-VqyUagmthunV3X6WTVHrX48o9Go4jgcYTxwKYGElwne6MiT4jJo9tfzq3i%2F01ILCY7KBAJAWB3SOL4VCIYUASJMHS5EAO:ms-officescript%3A%2F%2Fsharepoint_sharinglink%2Fu!aHR0cHM6Ly93Z2NwLnNoYXJlcG9pbnQuY29tLzp1Oi9zL05VVlUtQ29tZXJjaWFsL0VTQklMQjNKeS1WRWpGQVNTdzh1a0E0QmcydU9VeGtXM2hYc3Ntb2dSVjJKUmc"/>
  <scriptId xmlns="" id="ms-officescript%3A%2F%2Fsharepoint_itemlink%2Fb!DjhyP-VqyUagmthunV3X6WTVHrX48o9Go4jgcYTxwKYGElwne6MiT4jJo9tfzq3i%2F01ILCY7KFT3547STUJVVFZP27PVWOZRNK7:ms-officescript%3A%2F%2Fsharepoint_sharinglink%2Fu!aHR0cHM6Ly93Z2NwLnNoYXJlcG9pbnQuY29tLzp1Oi9zL05VVlUtQ29tZXJjaWFsL0ViUGZlZmxPaWExTGwtdnZyWjJZdFY4Qmd3eTV0R1ZxZ2JNUEhtem1EZVdIYXc"/>
  <scriptId xmlns="" id="ms-officescript%3A%2F%2Fsharepoint_itemlink%2Fb!DjhyP-VqyUagmthunV3X6WTVHrX48o9Go4jgcYTxwKYGElwne6MiT4jJo9tfzq3i%2F01ILCY7KEQ5SDP4CJRZJGY77SHFHOMDIUL:ms-officescript%3A%2F%2Fsharepoint_sharinglink%2Fu!aHR0cHM6Ly93Z2NwLnNoYXJlcG9pbnQuY29tLzp1Oi9zL05VVlUtQ29tZXJjaWFsL0VaRHNodjRKTWNwTmpfNUhLZHpCb29zQmdJOXB0aV9sM3F2QVUtZ25Ha09TVVE"/>
</scriptId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87321ADF990554C99469D38E0963953" ma:contentTypeVersion="25" ma:contentTypeDescription="Crear nuevo documento." ma:contentTypeScope="" ma:versionID="0ff0edb78055d15912fe15121f4b413d">
  <xsd:schema xmlns:xsd="http://www.w3.org/2001/XMLSchema" xmlns:xs="http://www.w3.org/2001/XMLSchema" xmlns:p="http://schemas.microsoft.com/office/2006/metadata/properties" xmlns:ns2="b51ed564-f2f8-468f-a388-e07184f1c0a6" xmlns:ns3="275c1206-a37b-4f22-88c9-a3db5fceade2" targetNamespace="http://schemas.microsoft.com/office/2006/metadata/properties" ma:root="true" ma:fieldsID="743cecb10e542df0136df2da7abf08e9" ns2:_="" ns3:_="">
    <xsd:import namespace="b51ed564-f2f8-468f-a388-e07184f1c0a6"/>
    <xsd:import namespace="275c1206-a37b-4f22-88c9-a3db5fceade2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CR" minOccurs="0"/>
                <xsd:element ref="ns3:MediaServiceBillingMetadata" minOccurs="0"/>
                <xsd:element ref="ns3:Metadata" minOccurs="0"/>
                <xsd:element ref="ns3:Tag" minOccurs="0"/>
                <xsd:element ref="ns3:Ubicaci_x00f3_n" minOccurs="0"/>
                <xsd:element ref="ns3:CountryOrRegion53c39da0-bc53-4b02-8835-da9416d103ee" minOccurs="0"/>
                <xsd:element ref="ns3:State53c39da0-bc53-4b02-8835-da9416d103ee" minOccurs="0"/>
                <xsd:element ref="ns3:City53c39da0-bc53-4b02-8835-da9416d103ee" minOccurs="0"/>
                <xsd:element ref="ns3:PostalCode53c39da0-bc53-4b02-8835-da9416d103ee" minOccurs="0"/>
                <xsd:element ref="ns3:Street53c39da0-bc53-4b02-8835-da9416d103ee" minOccurs="0"/>
                <xsd:element ref="ns3:GeoLoc53c39da0-bc53-4b02-8835-da9416d103ee" minOccurs="0"/>
                <xsd:element ref="ns3:DispName53c39da0-bc53-4b02-8835-da9416d103e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ed564-f2f8-468f-a388-e07184f1c0a6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9" nillable="true" ma:displayName="Taxonomy Catch All Column" ma:hidden="true" ma:list="{cf34abfc-444c-4adb-8fbc-9657ba37fabe}" ma:internalName="TaxCatchAll" ma:showField="CatchAllData" ma:web="b51ed564-f2f8-468f-a388-e07184f1c0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5c1206-a37b-4f22-88c9-a3db5fcead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12b4ba89-8ace-419e-814f-6a2e402f6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tadata" ma:index="23" nillable="true" ma:displayName="Metadata" ma:description="incluirar el nombre del documento de acuerdo a la estructura " ma:format="Dropdown" ma:internalName="Metadata">
      <xsd:simpleType>
        <xsd:restriction base="dms:Text">
          <xsd:maxLength value="255"/>
        </xsd:restriction>
      </xsd:simpleType>
    </xsd:element>
    <xsd:element name="Tag" ma:index="24" nillable="true" ma:displayName="Tag" ma:description="numeracion de referencia" ma:format="Dropdown" ma:internalName="Tag">
      <xsd:simpleType>
        <xsd:restriction base="dms:Text">
          <xsd:maxLength value="255"/>
        </xsd:restriction>
      </xsd:simpleType>
    </xsd:element>
    <xsd:element name="Ubicaci_x00f3_n" ma:index="25" nillable="true" ma:displayName="Ubicación" ma:format="Dropdown" ma:internalName="Ubicaci_x00f3_n">
      <xsd:simpleType>
        <xsd:restriction base="dms:Unknown"/>
      </xsd:simpleType>
    </xsd:element>
    <xsd:element name="CountryOrRegion53c39da0-bc53-4b02-8835-da9416d103ee" ma:index="26" nillable="true" ma:displayName="Ubicación: País o región" ma:internalName="CountryOrRegion" ma:readOnly="true">
      <xsd:simpleType>
        <xsd:restriction base="dms:Text"/>
      </xsd:simpleType>
    </xsd:element>
    <xsd:element name="State53c39da0-bc53-4b02-8835-da9416d103ee" ma:index="27" nillable="true" ma:displayName="Ubicación: estado" ma:internalName="State" ma:readOnly="true">
      <xsd:simpleType>
        <xsd:restriction base="dms:Text"/>
      </xsd:simpleType>
    </xsd:element>
    <xsd:element name="City53c39da0-bc53-4b02-8835-da9416d103ee" ma:index="28" nillable="true" ma:displayName="Ubicación: ciudad" ma:internalName="City" ma:readOnly="true">
      <xsd:simpleType>
        <xsd:restriction base="dms:Text"/>
      </xsd:simpleType>
    </xsd:element>
    <xsd:element name="PostalCode53c39da0-bc53-4b02-8835-da9416d103ee" ma:index="29" nillable="true" ma:displayName="Ubicación: Código postal" ma:internalName="PostalCode" ma:readOnly="true">
      <xsd:simpleType>
        <xsd:restriction base="dms:Text"/>
      </xsd:simpleType>
    </xsd:element>
    <xsd:element name="Street53c39da0-bc53-4b02-8835-da9416d103ee" ma:index="30" nillable="true" ma:displayName="Ubicación: calle" ma:internalName="Street" ma:readOnly="true">
      <xsd:simpleType>
        <xsd:restriction base="dms:Text"/>
      </xsd:simpleType>
    </xsd:element>
    <xsd:element name="GeoLoc53c39da0-bc53-4b02-8835-da9416d103ee" ma:index="31" nillable="true" ma:displayName="Ubicación: coordenadas" ma:internalName="GeoLoc" ma:readOnly="true">
      <xsd:simpleType>
        <xsd:restriction base="dms:Unknown"/>
      </xsd:simpleType>
    </xsd:element>
    <xsd:element name="DispName53c39da0-bc53-4b02-8835-da9416d103ee" ma:index="32" nillable="true" ma:displayName="Ubicación: nombre" ma:internalName="DispNa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1ed564-f2f8-468f-a388-e07184f1c0a6" xsi:nil="true"/>
    <lcf76f155ced4ddcb4097134ff3c332f xmlns="275c1206-a37b-4f22-88c9-a3db5fceade2">
      <Terms xmlns="http://schemas.microsoft.com/office/infopath/2007/PartnerControls"/>
    </lcf76f155ced4ddcb4097134ff3c332f>
    <Metadata xmlns="275c1206-a37b-4f22-88c9-a3db5fceade2" xsi:nil="true"/>
    <Ubicaci_x00f3_n xmlns="275c1206-a37b-4f22-88c9-a3db5fceade2" xsi:nil="true"/>
    <Tag xmlns="275c1206-a37b-4f22-88c9-a3db5fceade2" xsi:nil="true"/>
  </documentManagement>
</p:properties>
</file>

<file path=customXml/itemProps1.xml><?xml version="1.0" encoding="utf-8"?>
<ds:datastoreItem xmlns:ds="http://schemas.openxmlformats.org/officeDocument/2006/customXml" ds:itemID="{3865458B-8E6C-41C8-B07F-A1EEFD6071E6}"/>
</file>

<file path=customXml/itemProps2.xml><?xml version="1.0" encoding="utf-8"?>
<ds:datastoreItem xmlns:ds="http://schemas.openxmlformats.org/officeDocument/2006/customXml" ds:itemID="{843B9A7C-8066-4118-8E08-497648E63F15}"/>
</file>

<file path=customXml/itemProps3.xml><?xml version="1.0" encoding="utf-8"?>
<ds:datastoreItem xmlns:ds="http://schemas.openxmlformats.org/officeDocument/2006/customXml" ds:itemID="{BA7801B4-E75D-4252-8ADC-3B19F35ADEE4}"/>
</file>

<file path=customXml/itemProps4.xml><?xml version="1.0" encoding="utf-8"?>
<ds:datastoreItem xmlns:ds="http://schemas.openxmlformats.org/officeDocument/2006/customXml" ds:itemID="{DBC1F37C-82E8-4C39-B0F3-C87A41F423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2025-04-02T17:26:01Z</dcterms:created>
  <dcterms:modified xsi:type="dcterms:W3CDTF">2026-05-21T15:41:55Z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0x010100287321ADF990554C99469D38E0963953</vt:lpwstr>
  </property>
  <property fmtid="{D5CDD505-2E9C-101B-9397-08002B2CF9AE}" pid="3" name="MediaServiceImageTags">
    <vt:lpwstr/>
  </property>
</Properties>
</file>